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james\Desktop\slayer-cpa\market-research\"/>
    </mc:Choice>
  </mc:AlternateContent>
  <xr:revisionPtr revIDLastSave="0" documentId="13_ncr:1_{F3FC9A5F-7560-4249-B62B-FFD3B6600CBF}" xr6:coauthVersionLast="47" xr6:coauthVersionMax="47" xr10:uidLastSave="{00000000-0000-0000-0000-000000000000}"/>
  <bookViews>
    <workbookView xWindow="-28920" yWindow="-120" windowWidth="29040" windowHeight="15720" activeTab="5" xr2:uid="{00000000-000D-0000-FFFF-FFFF00000000}"/>
  </bookViews>
  <sheets>
    <sheet name="Projections" sheetId="9" r:id="rId1"/>
    <sheet name="Reddit Log" sheetId="10" r:id="rId2"/>
    <sheet name="Market" sheetId="7" r:id="rId3"/>
    <sheet name="Review" sheetId="8" r:id="rId4"/>
    <sheet name="Market Sizing" sheetId="3" state="hidden" r:id="rId5"/>
    <sheet name="Advertising &amp; CAC" sheetId="4" r:id="rId6"/>
    <sheet name="Lesson Manifest" sheetId="5" state="hidden" r:id="rId7"/>
    <sheet name="AICPA FAR BP Map" sheetId="1" state="hidden"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3" i="9" l="1"/>
  <c r="L42" i="9" s="1"/>
  <c r="L45" i="9" s="1"/>
  <c r="D56" i="9"/>
  <c r="D55" i="9"/>
  <c r="D54" i="9"/>
  <c r="L56" i="9"/>
  <c r="K56" i="9"/>
  <c r="J56" i="9"/>
  <c r="I56" i="9"/>
  <c r="H56" i="9"/>
  <c r="L55" i="9"/>
  <c r="K55" i="9"/>
  <c r="J55" i="9"/>
  <c r="I55" i="9"/>
  <c r="H55" i="9"/>
  <c r="L54" i="9"/>
  <c r="K54" i="9"/>
  <c r="J54" i="9"/>
  <c r="I54" i="9"/>
  <c r="H54" i="9"/>
  <c r="L14" i="9"/>
  <c r="K14" i="9"/>
  <c r="J14" i="9"/>
  <c r="I14" i="9"/>
  <c r="H14" i="9"/>
  <c r="H86" i="7"/>
  <c r="H87" i="7"/>
  <c r="H88" i="7"/>
  <c r="H89" i="7"/>
  <c r="H90" i="7"/>
  <c r="H91" i="7"/>
  <c r="H92" i="7"/>
  <c r="H93" i="7"/>
  <c r="H94" i="7"/>
  <c r="H85" i="7"/>
  <c r="G86" i="7"/>
  <c r="G87" i="7"/>
  <c r="G88" i="7"/>
  <c r="G89" i="7"/>
  <c r="G90" i="7"/>
  <c r="G91" i="7"/>
  <c r="G92" i="7"/>
  <c r="G93" i="7"/>
  <c r="G94" i="7"/>
  <c r="G85" i="7"/>
  <c r="E94" i="7"/>
  <c r="F94" i="7" s="1"/>
  <c r="E93" i="7"/>
  <c r="F93" i="7" s="1"/>
  <c r="E92" i="7"/>
  <c r="F92" i="7" s="1"/>
  <c r="E91" i="7"/>
  <c r="F91" i="7" s="1"/>
  <c r="E90" i="7"/>
  <c r="F90" i="7" s="1"/>
  <c r="E89" i="7"/>
  <c r="F89" i="7" s="1"/>
  <c r="E88" i="7"/>
  <c r="F88" i="7" s="1"/>
  <c r="E87" i="7"/>
  <c r="F87" i="7" s="1"/>
  <c r="E86" i="7"/>
  <c r="F86" i="7" s="1"/>
  <c r="E85" i="7"/>
  <c r="F85" i="7" s="1"/>
  <c r="E68" i="7"/>
  <c r="E73" i="7" s="1"/>
  <c r="I62" i="7"/>
  <c r="H62" i="7"/>
  <c r="I61" i="7"/>
  <c r="H61" i="7"/>
  <c r="I60" i="7"/>
  <c r="H60" i="7"/>
  <c r="G23" i="7"/>
  <c r="F23" i="7"/>
  <c r="I58" i="9" l="1"/>
  <c r="I18" i="9" s="1"/>
  <c r="H42" i="9"/>
  <c r="H45" i="9" s="1"/>
  <c r="I42" i="9"/>
  <c r="I45" i="9" s="1"/>
  <c r="J42" i="9"/>
  <c r="J45" i="9" s="1"/>
  <c r="K42" i="9"/>
  <c r="K45" i="9" s="1"/>
  <c r="H58" i="9"/>
  <c r="H18" i="9" s="1"/>
  <c r="L58" i="9"/>
  <c r="K58" i="9"/>
  <c r="K18" i="9" s="1"/>
  <c r="J58" i="9"/>
  <c r="J18" i="9" s="1"/>
  <c r="L60" i="9" l="1"/>
  <c r="L6" i="9" s="1"/>
  <c r="L18" i="9"/>
  <c r="J60" i="9"/>
  <c r="J6" i="9" s="1"/>
  <c r="H60" i="9"/>
  <c r="H6" i="9" s="1"/>
  <c r="K60" i="9"/>
  <c r="K6" i="9" s="1"/>
  <c r="I60" i="9"/>
  <c r="I6" i="9" s="1"/>
  <c r="H7" i="9" l="1"/>
  <c r="H24" i="9"/>
  <c r="H31" i="9" s="1"/>
  <c r="I7" i="9"/>
  <c r="I24" i="9"/>
  <c r="I31" i="9" s="1"/>
  <c r="K7" i="9"/>
  <c r="K24" i="9"/>
  <c r="K31" i="9" s="1"/>
  <c r="J7" i="9"/>
  <c r="J24" i="9"/>
  <c r="J31" i="9" s="1"/>
  <c r="L7" i="9"/>
  <c r="L24" i="9"/>
  <c r="L31" i="9" s="1"/>
  <c r="L33" i="9" l="1"/>
  <c r="L35" i="9" s="1"/>
  <c r="L37" i="9" s="1"/>
  <c r="J33" i="9"/>
  <c r="J35" i="9" s="1"/>
  <c r="J37" i="9" s="1"/>
  <c r="K33" i="9"/>
  <c r="K35" i="9" s="1"/>
  <c r="K37" i="9" s="1"/>
  <c r="I33" i="9"/>
  <c r="I35" i="9" s="1"/>
  <c r="I37" i="9" s="1"/>
  <c r="H33" i="9"/>
  <c r="H35" i="9" s="1"/>
  <c r="H37" i="9" s="1"/>
</calcChain>
</file>

<file path=xl/sharedStrings.xml><?xml version="1.0" encoding="utf-8"?>
<sst xmlns="http://schemas.openxmlformats.org/spreadsheetml/2006/main" count="1938" uniqueCount="636">
  <si>
    <t>AICPA Area</t>
  </si>
  <si>
    <t>AICPA Area Name</t>
  </si>
  <si>
    <t>Area Weight</t>
  </si>
  <si>
    <t>AICPA Group</t>
  </si>
  <si>
    <t>AICPA Group Name</t>
  </si>
  <si>
    <t>AICPA Topic #</t>
  </si>
  <si>
    <t>AICPA Topic Name</t>
  </si>
  <si>
    <t>Skill Level</t>
  </si>
  <si>
    <t>Representative Task</t>
  </si>
  <si>
    <t>Our Lesson #</t>
  </si>
  <si>
    <t>Our Lesson Title</t>
  </si>
  <si>
    <t>Our Status</t>
  </si>
  <si>
    <t>I</t>
  </si>
  <si>
    <t>Financial Reporting</t>
  </si>
  <si>
    <t>30-40%</t>
  </si>
  <si>
    <t>A</t>
  </si>
  <si>
    <t>General-Purpose Financial Reporting: For-Profit Business Entities</t>
  </si>
  <si>
    <t>1</t>
  </si>
  <si>
    <t>Balance sheet / Statement of financial position</t>
  </si>
  <si>
    <t>Application</t>
  </si>
  <si>
    <t>Prepare a classified balance sheet from a trial balance and supporting documentation.</t>
  </si>
  <si>
    <t>01</t>
  </si>
  <si>
    <t>Financial Reporting: For-Profit Entities</t>
  </si>
  <si>
    <t>EXISTING (refactor from 02-financial-statement-presentation)</t>
  </si>
  <si>
    <t>Adjust the balance sheet to correct identified errors.</t>
  </si>
  <si>
    <t>EXISTING</t>
  </si>
  <si>
    <t>Analysis</t>
  </si>
  <si>
    <t>Detect, investigate and correct discrepancies while agreeing the balance sheet amounts to supporting documentation, including the source data.</t>
  </si>
  <si>
    <t>2</t>
  </si>
  <si>
    <t>Income statement / Statement of profit or loss</t>
  </si>
  <si>
    <t>Prepare a single-step or multi-step income statement (e.g., operating, nonoperating, discontinued operations) from a trial balance and supporting documentation.</t>
  </si>
  <si>
    <t>Adjust the income statement to correct identified errors.</t>
  </si>
  <si>
    <t>Calculate transaction gains or losses recognized from monetary transactions denominated in a foreign currency.</t>
  </si>
  <si>
    <t>Detect, investigate and correct discrepancies while agreeing the income statement amounts to supporting documentation, including the source data.</t>
  </si>
  <si>
    <t>3</t>
  </si>
  <si>
    <t>Statement of comprehensive income</t>
  </si>
  <si>
    <t>Remembering</t>
  </si>
  <si>
    <t>Recall the purpose, objectives and structure of the statement of comprehensive income.</t>
  </si>
  <si>
    <t>Identify items classified as other comprehensive income.</t>
  </si>
  <si>
    <t>4</t>
  </si>
  <si>
    <t>Statement of changes in equity</t>
  </si>
  <si>
    <t>Prepare a statement of changes in equity from a trial balance and supporting documentation.</t>
  </si>
  <si>
    <t>Adjust the statement of changes in equity to correct identified errors.</t>
  </si>
  <si>
    <t>Detect, investigate and correct discrepancies while agreeing the statement of changes in equity amounts to supporting documentation, including the source data.</t>
  </si>
  <si>
    <t>5</t>
  </si>
  <si>
    <t>Statement of cash flows</t>
  </si>
  <si>
    <t>Prepare a statement of cash flow using the indirect method and required disclosures from supporting documentation.</t>
  </si>
  <si>
    <t>02</t>
  </si>
  <si>
    <t>Statement of Cash Flows</t>
  </si>
  <si>
    <t>Adjust a statement of cash flows to correct identified errors.</t>
  </si>
  <si>
    <t>Detect, investigate and correct discrepancies while agreeing the statement of cash flows amounts to supporting documentation, including the source data.</t>
  </si>
  <si>
    <t>Derive the impact of transactions on the statement of cash flows.</t>
  </si>
  <si>
    <t>6</t>
  </si>
  <si>
    <t>Consolidated financial statements (including wholly-owned subsidiaries and noncontrolling interests)</t>
  </si>
  <si>
    <t>Prepare consolidated financial statements (adjustments, and/or eliminations) from supporting documentation.</t>
  </si>
  <si>
    <t>03</t>
  </si>
  <si>
    <t>Consolidated Financial Statements</t>
  </si>
  <si>
    <t>EXISTING (refactor from 19-consolidations)</t>
  </si>
  <si>
    <t>Adjust consolidated financial statements to correct identified errors.</t>
  </si>
  <si>
    <t>Detect, investigate and correct discrepancies identified while agreeing the consolidated financial statement amounts to supporting documentation, including the source data.</t>
  </si>
  <si>
    <t>7</t>
  </si>
  <si>
    <t>Notes to financial statements</t>
  </si>
  <si>
    <t>Adjust the notes to the financial statements to correct identified errors and omissions.</t>
  </si>
  <si>
    <t>Compare the notes to the financial statements to the financial statements and supporting documentation, including the source data, to identify inconsistencies and investigate those inconsistencies.</t>
  </si>
  <si>
    <t>B</t>
  </si>
  <si>
    <t>General-Purpose Financial Reporting: Nongovernmental Not-for-Profit Entities</t>
  </si>
  <si>
    <t>Statement of financial position</t>
  </si>
  <si>
    <t>Recall the purpose and objectives of the statement of financial position for a nongovernmental, not-for-profit entity.</t>
  </si>
  <si>
    <t>04</t>
  </si>
  <si>
    <t>Financial Reporting: Not-for-Profit Entities</t>
  </si>
  <si>
    <t>EXISTING (refactor from 21-not-for-profit)</t>
  </si>
  <si>
    <t>Prepare a statement of financial position for a nongovernmental, not-for-profit entity from a trial balance and supporting documentation.</t>
  </si>
  <si>
    <t>Adjust the statement of financial position for a nongovernmental, not-for-profit entity to correct identified errors.</t>
  </si>
  <si>
    <t>Statement of activities</t>
  </si>
  <si>
    <t>Recall the purpose and objectives of the statement of activities for a nongovernmental, not-for-profit entity.</t>
  </si>
  <si>
    <t>Prepare a statement of activities for a nongovernmental, not-for-profit entity, including donor restrictions and releases from donor restrictions, from a trial balance and supporting documentation.</t>
  </si>
  <si>
    <t>Adjust the statement of activities for a nongovernmental, not-for-profit entity to correct identified errors.</t>
  </si>
  <si>
    <t>Report expenses by nature and function in either the statement of activities, the notes to the financial statements or a statement of functional expenses for a nongovernmental, not-for-profit entity.</t>
  </si>
  <si>
    <t>Recall the purpose and objectives of the statement of cash flows for a nongovernmental, not-for-profit entity.</t>
  </si>
  <si>
    <t>Prepare a statement of cash flows and required disclosures using the indirect method for a nongovernmental, not-for-profit entity.</t>
  </si>
  <si>
    <t>Adjust the statement of cash flows for a nongovernmental, not-for-profit entity to correct identified errors.</t>
  </si>
  <si>
    <t>Notes to the financial statements</t>
  </si>
  <si>
    <t>C</t>
  </si>
  <si>
    <t>State and Local Government Concepts</t>
  </si>
  <si>
    <t>Measurement focus and basis of accounting</t>
  </si>
  <si>
    <t>Recall the measurement focus and basis of accounting used by state and local governments for fund and government-wide financial reporting.</t>
  </si>
  <si>
    <t>05</t>
  </si>
  <si>
    <t>EXISTING (merge 22+23)</t>
  </si>
  <si>
    <t>Purpose of funds</t>
  </si>
  <si>
    <t>Determine the appropriate fund(s) that a state or local government should use to record its activities.</t>
  </si>
  <si>
    <t>D</t>
  </si>
  <si>
    <t>Public Company Reporting Topics</t>
  </si>
  <si>
    <t/>
  </si>
  <si>
    <t>SEC Forms 10-Q / 10-K / 8-K</t>
  </si>
  <si>
    <t>Recall the purpose of forms 10-Q, 10-K and 8-K that a U.S. registrant is required to file with the U.S. Securities and Exchange Commission under the Securities Exchange Act of 1934.</t>
  </si>
  <si>
    <t>06</t>
  </si>
  <si>
    <t>Public Company Reporting and EPS</t>
  </si>
  <si>
    <t>EXISTING (refactor from 04-earnings-per-share)</t>
  </si>
  <si>
    <t>Identify the items of Form 10-Q (Part I Items 1 through 3) and Form 10-K (Part II Items 7, 7A and 8) filed with the U.S. Securities and Exchange Commission.</t>
  </si>
  <si>
    <t>Earnings per share</t>
  </si>
  <si>
    <t>Calculate basic earnings per share and diluted earnings per share considering the impact of stock options, preferred stock, convertible preferred stock and/or convertible debt.</t>
  </si>
  <si>
    <t>E</t>
  </si>
  <si>
    <t>Special Purpose Frameworks</t>
  </si>
  <si>
    <t>Recall appropriate financial statement titles to be used for the financial statements prepared under a special purpose framework.</t>
  </si>
  <si>
    <t>07</t>
  </si>
  <si>
    <t>Perform calculations to convert cash basis or modified cash basis financial statements to accrual basis financial statements.</t>
  </si>
  <si>
    <t>Prepare financial statements using the cash basis or modified cash basis of accounting.</t>
  </si>
  <si>
    <t>Prepare income tax basis financial statements using the cash or accrual methods of accounting.</t>
  </si>
  <si>
    <t>F</t>
  </si>
  <si>
    <t>Financial Statement Ratios and Performance Metrics</t>
  </si>
  <si>
    <t>Identify the appropriate financial statement ratio or performance metric to perform a specified type of analysis.</t>
  </si>
  <si>
    <t>08</t>
  </si>
  <si>
    <t>NEW — needs lesson written</t>
  </si>
  <si>
    <t>Calculate profitability ratios (e.g., gross profit margin, return on sales, return on assets, return on equity).</t>
  </si>
  <si>
    <t>NEW</t>
  </si>
  <si>
    <t>Calculate liquidity ratios (e.g., current, quick, accounts receivable turnover, inventory turnover, accounts payable turnover).</t>
  </si>
  <si>
    <t>Calculate solvency ratios (e.g., debt-to-equity, total debt, times interest earned).</t>
  </si>
  <si>
    <t>Calculate performance metrics (e.g., EBITDA, price-to-earnings, dividend payout, asset turnover).</t>
  </si>
  <si>
    <t>Calculate variances between budget and actual results.</t>
  </si>
  <si>
    <t>II</t>
  </si>
  <si>
    <t>Select Balance Sheet Accounts</t>
  </si>
  <si>
    <t>Cash and cash equivalents</t>
  </si>
  <si>
    <t>Calculate cash and cash equivalents balances to be reported in the financial statements.</t>
  </si>
  <si>
    <t>09</t>
  </si>
  <si>
    <t>Cash and Cash Equivalents</t>
  </si>
  <si>
    <t>EXISTING (split from 07-cash-and-receivables)</t>
  </si>
  <si>
    <t>Reconcile the cash balance per the bank statement to the general ledger.</t>
  </si>
  <si>
    <t>Investigate unreconciled cash balances to determine whether an adjustment to the general ledger is necessary.</t>
  </si>
  <si>
    <t>Trade receivables</t>
  </si>
  <si>
    <t>Calculate trade receivables and allowances (e.g., credit losses, sales returns) and prepare journal entries.</t>
  </si>
  <si>
    <t>10</t>
  </si>
  <si>
    <t>Trade Receivables</t>
  </si>
  <si>
    <t>Prepare any required journal entries to record the transfer of trade receivables (secured borrowings, factoring, assignment, pledging).</t>
  </si>
  <si>
    <t>Prepare a rollforward of the trade receivables account balance using various sources of data and information.</t>
  </si>
  <si>
    <t>Reconcile and investigate differences between the subledger and general ledger for trade receivables to determine whether an adjustment is necessary.</t>
  </si>
  <si>
    <t>Inventory</t>
  </si>
  <si>
    <t>Calculate the carrying amount of inventory and prepare journal entries using various costing methods.</t>
  </si>
  <si>
    <t>11</t>
  </si>
  <si>
    <t>Use the lower of cost and net realizable value or the lower of cost or market approach to calculate the carrying amount of inventory.</t>
  </si>
  <si>
    <t>Prepare a rollforward of the inventory account balance using various sources of data and information.</t>
  </si>
  <si>
    <t>Reconcile and investigate differences between the subledger and general ledger for inventory to determine whether an adjustment is necessary.</t>
  </si>
  <si>
    <t>Property, plant and equipment</t>
  </si>
  <si>
    <t>Calculate the gross and net property, plant and equipment balances and prepare journal entries.</t>
  </si>
  <si>
    <t>12</t>
  </si>
  <si>
    <t>Property, Plant and Equipment</t>
  </si>
  <si>
    <t>EXISTING (rename from 10-fixed-assets)</t>
  </si>
  <si>
    <t>Calculate gains or losses on the disposal of long-lived assets to be recognized in the financial statements.</t>
  </si>
  <si>
    <t>Calculate impairment losses on long-lived assets to be recognized in the financial statements.</t>
  </si>
  <si>
    <t>Determine whether an asset qualifies to be reported as held for sale in the financial statements.</t>
  </si>
  <si>
    <t>Adjust the carrying amount of assets held for sale and calculate the loss to be recognized in the financial statements.</t>
  </si>
  <si>
    <t>Prepare a rollforward of the property, plant and equipment account balance using various sources of data and information.</t>
  </si>
  <si>
    <t>Reconcile and investigate differences between the subledger and general ledger for property, plant and equipment to determine whether an adjustment is necessary.</t>
  </si>
  <si>
    <t>Investments</t>
  </si>
  <si>
    <t>Financial assets at fair value</t>
  </si>
  <si>
    <t>Identify investments that are eligible or required to be reported at fair value in the financial statements.</t>
  </si>
  <si>
    <t>13</t>
  </si>
  <si>
    <t>Calculate the carrying amount of investments measured at fair value (excluding impairment).</t>
  </si>
  <si>
    <t>Calculate investment income to be recognized in net income for investments measured at fair value and prepare journal entries.</t>
  </si>
  <si>
    <t>Calculate impairment losses to be recognized on applicable investments reported at fair value in the financial statements.</t>
  </si>
  <si>
    <t>Financial assets at amortized cost</t>
  </si>
  <si>
    <t>Identify investments that are eligible to be reported at amortized cost in the financial statements.</t>
  </si>
  <si>
    <t>Calculate the carrying amount of investments measured at amortized cost and prepare journal entries (excluding impairment).</t>
  </si>
  <si>
    <t>Calculate impairment losses to be recognized on investments reported at amortized cost in the financial statements.</t>
  </si>
  <si>
    <t>Equity method investments</t>
  </si>
  <si>
    <t>Identify when the equity method of accounting can be applied to an investment.</t>
  </si>
  <si>
    <t>Calculate the carrying amount of equity method investments and prepare journal entries (excluding impairment).</t>
  </si>
  <si>
    <t>Intangible assets</t>
  </si>
  <si>
    <t>Identify the criteria for recognizing intangible assets in the statement of financial position and classify intangible assets as either finite-lived or indefinite-lived.</t>
  </si>
  <si>
    <t>14</t>
  </si>
  <si>
    <t>Intangible Assets</t>
  </si>
  <si>
    <t>Calculate the carrying amount of finite-lived intangible assets reported in the financial statements (initial measurement, amortization and impairment) and prepare journal entries.</t>
  </si>
  <si>
    <t>Calculate the carrying amount of purchased software and cloud computing arrangements reported in the financial statements (initial measurement, amortization and impairment) and prepare journal entries.</t>
  </si>
  <si>
    <t>G</t>
  </si>
  <si>
    <t>Payables and accrued liabilities</t>
  </si>
  <si>
    <t>Recall the recognition and measurement requirements for asset retirement obligations.</t>
  </si>
  <si>
    <t>15</t>
  </si>
  <si>
    <t>Payables and Accrued Liabilities</t>
  </si>
  <si>
    <t>Calculate the carrying amount of payables (e.g., accounts payable, dividends payable) and accrued liabilities (e.g., accrued wages, accrued vacation, accrued bonuses, self-insurance liabilities) and prepare journal entries.</t>
  </si>
  <si>
    <t>Identify and calculate liabilities arising from exit or disposal activities (e.g., one-time termination benefits, severance arrangements) and determine the timing of recognition in the financial statements.</t>
  </si>
  <si>
    <t>Reconcile and investigate differences between the subledger and general ledger for accounts payable and accrued liabilities to determine whether an adjustment is necessary.</t>
  </si>
  <si>
    <t>H</t>
  </si>
  <si>
    <t>Debt (financial liabilities)</t>
  </si>
  <si>
    <t>Notes and bonds payable</t>
  </si>
  <si>
    <t>Recall the criteria to classify a change to a debt instrument as either a modification of terms or an extinguishment of debt.</t>
  </si>
  <si>
    <t>16</t>
  </si>
  <si>
    <t>Debt</t>
  </si>
  <si>
    <t>EXISTING (rename from 14-bonds-and-debt)</t>
  </si>
  <si>
    <t>Understand when a change to the terms of a debt instrument qualifies as a troubled debt restructuring.</t>
  </si>
  <si>
    <t>Calculate the interest expense attributable to notes and bonds payable reported in the financial statements (e.g., discounts, premiums, debt issuance costs).</t>
  </si>
  <si>
    <t>Calculate the carrying amount of notes and bonds payable and prepare journal entries.</t>
  </si>
  <si>
    <t>Debt covenant compliance</t>
  </si>
  <si>
    <t>Perform debt covenant calculations as stipulated in a debt agreement to ascertain compliance.</t>
  </si>
  <si>
    <t>Equity</t>
  </si>
  <si>
    <t>Prepare journal entries to recognize equity transactions in the financial statements (e.g., equity issuance, stock dividends, stock splits, treasury stock, capital account activity in pass-through entities).</t>
  </si>
  <si>
    <t>17</t>
  </si>
  <si>
    <t>III</t>
  </si>
  <si>
    <t>Select Transactions</t>
  </si>
  <si>
    <t>25-35%</t>
  </si>
  <si>
    <t>Accounting changes and error corrections</t>
  </si>
  <si>
    <t>Calculate a required adjustment to the financial statements due to an accounting change (change in accounting principle or change in accounting estimate) or error correction and determine whether it requires prospective or retrospective application.</t>
  </si>
  <si>
    <t>18</t>
  </si>
  <si>
    <t>Accounting Changes and Error Corrections</t>
  </si>
  <si>
    <t>Derive the impact to the financial statements and related note disclosures of an identified accounting change or an error correction.</t>
  </si>
  <si>
    <t>Contingencies and commitments</t>
  </si>
  <si>
    <t>Recall the recognition and disclosure criteria used to identify commitments and contingencies.</t>
  </si>
  <si>
    <t>19</t>
  </si>
  <si>
    <t>Contingencies and Commitments</t>
  </si>
  <si>
    <t>Calculate amounts of contingencies and prepare journal entries.</t>
  </si>
  <si>
    <t>Review supporting documentation to determine whether a commitment or contingency requires recognition and/or disclosure in the financial statements.</t>
  </si>
  <si>
    <t>Revenue recognition</t>
  </si>
  <si>
    <t>Recall concepts of accounting for revenue using the five-step model.</t>
  </si>
  <si>
    <t>20</t>
  </si>
  <si>
    <t>Revenue Recognition</t>
  </si>
  <si>
    <t>EXISTING (move from Area II)</t>
  </si>
  <si>
    <t>Recall the recognition requirements associated with conditional and unconditional promises to give (pledges) for a nongovernmental, not-for-profit entity.</t>
  </si>
  <si>
    <t>Identify transfers to a nongovernmental, not-for-profit entity acting as an agent or intermediary that are not recognized as contributions.</t>
  </si>
  <si>
    <t>Determine the amount and timing of revenue to be recognized using the five-step model and prepare journal entries.</t>
  </si>
  <si>
    <t>Determine the recognition and subsequent measurement requirements for contract costs and prepare journal entries.</t>
  </si>
  <si>
    <t>Determine the amount and timing of revenue to be recognized by a nongovernmental, not-for-profit entity for contributed services received and prepare journal entries.</t>
  </si>
  <si>
    <t>Calculate the amount to be recognized for contributions (financial assets and nonfinancial assets) to a nongovernmental, not-for-profit entity.</t>
  </si>
  <si>
    <t>Accounting for income taxes</t>
  </si>
  <si>
    <t>Recall the accounting treatment for uncertainty in income taxes.</t>
  </si>
  <si>
    <t>21</t>
  </si>
  <si>
    <t>Income Taxes</t>
  </si>
  <si>
    <t>Recall the criteria for recognizing or adjusting a valuation allowance for a deferred tax asset.</t>
  </si>
  <si>
    <t>Calculate the income tax expense and current taxes payable/receivable.</t>
  </si>
  <si>
    <t>Calculate deferred tax assets/liabilities resulting from book to tax basis differences (e.g., allowance for credit losses, inventory costing methods, property, plant and equipment).</t>
  </si>
  <si>
    <t>Prepare journal entries to record the tax provision.</t>
  </si>
  <si>
    <t>Fair value measurements</t>
  </si>
  <si>
    <t>Identify the valuation techniques used to measure fair value.</t>
  </si>
  <si>
    <t>22</t>
  </si>
  <si>
    <t>Fair Value Measurements</t>
  </si>
  <si>
    <t>Use assumptions (e.g., highest and best use, market participant assumptions, unit of account) and approaches (cost, income, market) to measure fair value according to the fair value hierarchy.</t>
  </si>
  <si>
    <t>Lessee accounting</t>
  </si>
  <si>
    <t>Recall the appropriate accounting treatment for residual value guarantees, purchase options and variable lease payments included in leasing arrangements for a lessee.</t>
  </si>
  <si>
    <t>23</t>
  </si>
  <si>
    <t>Lessee Accounting</t>
  </si>
  <si>
    <t>Identify the criteria for classifying a lease arrangement for a lessee.</t>
  </si>
  <si>
    <t>Calculate the carrying amount of lease-related assets and liabilities and prepare journal entries that a lessee should record.</t>
  </si>
  <si>
    <t>Calculate the lease costs that a lessee should recognize in the income statement.</t>
  </si>
  <si>
    <t>Subsequent events</t>
  </si>
  <si>
    <t>Identify a subsequent event and recall its appropriate accounting treatment.</t>
  </si>
  <si>
    <t>24</t>
  </si>
  <si>
    <t>Subsequent Events</t>
  </si>
  <si>
    <t>Calculate required adjustments to financial statements and/or note disclosures based on identified subsequent events.</t>
  </si>
  <si>
    <t>Derive the impact to the financial statements and required note disclosures due to identified subsequent events.</t>
  </si>
  <si>
    <t>#</t>
  </si>
  <si>
    <t>Competitor</t>
  </si>
  <si>
    <t>Cost Low</t>
  </si>
  <si>
    <t>Cost High</t>
  </si>
  <si>
    <t>Status</t>
  </si>
  <si>
    <t>Notes</t>
  </si>
  <si>
    <t>Becker</t>
  </si>
  <si>
    <t>40%</t>
  </si>
  <si>
    <t>$5,000</t>
  </si>
  <si>
    <t>Owned by Colibri Group. 72% of Big 4 recruits report firm recommends/provides Becker. ~2M cumulative users. Est. revenue $84-322M (sources vary).</t>
  </si>
  <si>
    <t>Surgent</t>
  </si>
  <si>
    <t>300+ university partnerships. Strong adaptive tech (A.S.A.P. Technology). Claims 88-92% pass rate.</t>
  </si>
  <si>
    <t>Gleim</t>
  </si>
  <si>
    <t>Largest question bank. Long-established. Known for volume of MCQs.</t>
  </si>
  <si>
    <t>Budget</t>
  </si>
  <si>
    <t>Monthly subscription model. Huge Reddit presence. Budget pick. LTV ~$536 (8 months avg).</t>
  </si>
  <si>
    <t>$500</t>
  </si>
  <si>
    <t>Yaeger CPA Review</t>
  </si>
  <si>
    <t>Budget option, video-heavy, been around a long time</t>
  </si>
  <si>
    <t>Fast Forward Academy</t>
  </si>
  <si>
    <t>Adaptive learning focus, smaller player</t>
  </si>
  <si>
    <t>Lambers CPA Review</t>
  </si>
  <si>
    <t>Old school, mostly self-study textbook style</t>
  </si>
  <si>
    <t>SuperfastCPA</t>
  </si>
  <si>
    <t>Condensed notes, audio. Not a full course.</t>
  </si>
  <si>
    <t>Universal CPA Review</t>
  </si>
  <si>
    <t>Newer entrant, adaptive</t>
  </si>
  <si>
    <t>Free YouTube. Huge following with accounting students.</t>
  </si>
  <si>
    <t>CPA Exam Market Sizing</t>
  </si>
  <si>
    <t>CPA Exam Candidates Per Year</t>
  </si>
  <si>
    <t>Year</t>
  </si>
  <si>
    <t>Unique Candidates</t>
  </si>
  <si>
    <t>New Candidates</t>
  </si>
  <si>
    <t>Passed Final Section</t>
  </si>
  <si>
    <t>Source</t>
  </si>
  <si>
    <t>Going Concern / NASBA</t>
  </si>
  <si>
    <t>NASBA blog (rush pre-CPA Evolution)</t>
  </si>
  <si>
    <t>NASBA 2024 Performance Book</t>
  </si>
  <si>
    <t>Note: 2024 new candidates (27,994) is the lowest since NASBA began tracking in 2008.</t>
  </si>
  <si>
    <t>Note: 2023 spike due to candidates rushing before CPA Evolution launch Jan 2024.</t>
  </si>
  <si>
    <t>Note: "Unique Candidate" = one person who sat for at least one section that year.</t>
  </si>
  <si>
    <t>Note: "New Candidate" = sitting for the CPA exam for the first time ever.</t>
  </si>
  <si>
    <t>Pass Rates by Section (2024-2025)</t>
  </si>
  <si>
    <t>Section</t>
  </si>
  <si>
    <t>Pass Rate Low</t>
  </si>
  <si>
    <t>Pass Rate High</t>
  </si>
  <si>
    <t>FAR</t>
  </si>
  <si>
    <t>43%</t>
  </si>
  <si>
    <t>AUD</t>
  </si>
  <si>
    <t>46%</t>
  </si>
  <si>
    <t>48%</t>
  </si>
  <si>
    <t>REG</t>
  </si>
  <si>
    <t>58%</t>
  </si>
  <si>
    <t>64%</t>
  </si>
  <si>
    <t>TCP</t>
  </si>
  <si>
    <t>82%</t>
  </si>
  <si>
    <t>ISC</t>
  </si>
  <si>
    <t>51%</t>
  </si>
  <si>
    <t>BAR</t>
  </si>
  <si>
    <t>41%</t>
  </si>
  <si>
    <t>Study Time Benchmarks</t>
  </si>
  <si>
    <t>Measure</t>
  </si>
  <si>
    <t>Low</t>
  </si>
  <si>
    <t>High</t>
  </si>
  <si>
    <t>Total study hours</t>
  </si>
  <si>
    <t>Months to pass all sections</t>
  </si>
  <si>
    <t>Rolling window to pass all sections</t>
  </si>
  <si>
    <t>30 months</t>
  </si>
  <si>
    <t>First-attempt fail rate per section</t>
  </si>
  <si>
    <t>~50%</t>
  </si>
  <si>
    <t>Total Market Revenue Estimate</t>
  </si>
  <si>
    <t>Scenario</t>
  </si>
  <si>
    <t>Rolling Testers</t>
  </si>
  <si>
    <t>Avg Spend Low</t>
  </si>
  <si>
    <t>Avg Spend High</t>
  </si>
  <si>
    <t>Market Low</t>
  </si>
  <si>
    <t>Market High</t>
  </si>
  <si>
    <t>$1,500</t>
  </si>
  <si>
    <t>$2,000</t>
  </si>
  <si>
    <t>$105,000,000</t>
  </si>
  <si>
    <t>$140,000,000</t>
  </si>
  <si>
    <t>Estimate</t>
  </si>
  <si>
    <t>$111,000,000</t>
  </si>
  <si>
    <t>$148,000,000</t>
  </si>
  <si>
    <t>$120,000,000</t>
  </si>
  <si>
    <t>$160,000,000</t>
  </si>
  <si>
    <t>Blended Average Customer Spend</t>
  </si>
  <si>
    <t>Provider</t>
  </si>
  <si>
    <t>LTV</t>
  </si>
  <si>
    <t>Ninja ($67/mo x 8 months)</t>
  </si>
  <si>
    <t>$536</t>
  </si>
  <si>
    <t>Becker (one-time)</t>
  </si>
  <si>
    <t>Blended average (all providers)</t>
  </si>
  <si>
    <t>~$2,768</t>
  </si>
  <si>
    <t>Advertising Cost &amp; Customer Acquisition Analysis</t>
  </si>
  <si>
    <t>Cost Per Click by Channel</t>
  </si>
  <si>
    <t>Channel</t>
  </si>
  <si>
    <t>CPC Low</t>
  </si>
  <si>
    <t>CPC High</t>
  </si>
  <si>
    <t>Best For</t>
  </si>
  <si>
    <t>Reddit Organic</t>
  </si>
  <si>
    <t>$0</t>
  </si>
  <si>
    <t>Building trust, long game</t>
  </si>
  <si>
    <t>Post value in r/CPA, r/Accounting. Free but slow.</t>
  </si>
  <si>
    <t>Reddit Ads</t>
  </si>
  <si>
    <t>$0.50</t>
  </si>
  <si>
    <t>$2.00</t>
  </si>
  <si>
    <t>Niche targeting (r/CPA subs)</t>
  </si>
  <si>
    <t>Cheapest paid option. Can target exact subreddits.</t>
  </si>
  <si>
    <t>Facebook/Instagram Ads</t>
  </si>
  <si>
    <t>$0.60</t>
  </si>
  <si>
    <t>$1.50</t>
  </si>
  <si>
    <t>Broad awareness, retargeting</t>
  </si>
  <si>
    <t>Good for "just graduated" demographic targeting.</t>
  </si>
  <si>
    <t>Google Ads (Education)</t>
  </si>
  <si>
    <t>$4.00</t>
  </si>
  <si>
    <t>$6.23</t>
  </si>
  <si>
    <t>High intent searches</t>
  </si>
  <si>
    <t>Education CPC spiked 42% in 2025. Most expensive. $6.23 avg for education.</t>
  </si>
  <si>
    <t>YouTube Ads</t>
  </si>
  <si>
    <t>$0.10</t>
  </si>
  <si>
    <t>$0.30</t>
  </si>
  <si>
    <t>Brand awareness, demo videos</t>
  </si>
  <si>
    <t>Pre-roll on CPA study videos. Cheap impressions.</t>
  </si>
  <si>
    <t>TikTok Ads</t>
  </si>
  <si>
    <t>$1.00</t>
  </si>
  <si>
    <t>Younger candidates, awareness</t>
  </si>
  <si>
    <t>Accounting TikTok is a real niche.</t>
  </si>
  <si>
    <t>Conversion Funnel Benchmarks (Education/SaaS)</t>
  </si>
  <si>
    <t>Stage</t>
  </si>
  <si>
    <t>Rate</t>
  </si>
  <si>
    <t>Ad impression → Click (CTR)</t>
  </si>
  <si>
    <t>Education Google Ads benchmark (5.7%)</t>
  </si>
  <si>
    <t>Click → Free trial/signup</t>
  </si>
  <si>
    <t>Education landing page benchmark (11.4% CVR)</t>
  </si>
  <si>
    <t>Free trial → Paid subscriber</t>
  </si>
  <si>
    <t>EdTech trial-to-paid benchmark (24.8%)</t>
  </si>
  <si>
    <t>Click → Paid (combined)</t>
  </si>
  <si>
    <t>Calculated: 10% x 25%</t>
  </si>
  <si>
    <t>Clicks needed per 1 paid customer</t>
  </si>
  <si>
    <t>Calculated: 1 / 2.5%</t>
  </si>
  <si>
    <t>Customer Acquisition Cost (CAC) by Channel</t>
  </si>
  <si>
    <t>CPC (est)</t>
  </si>
  <si>
    <t>Clicks to Convert</t>
  </si>
  <si>
    <t>CAC</t>
  </si>
  <si>
    <t>LTV:CAC</t>
  </si>
  <si>
    <t>N/A</t>
  </si>
  <si>
    <t>$240</t>
  </si>
  <si>
    <t>Infinite</t>
  </si>
  <si>
    <t>$40</t>
  </si>
  <si>
    <t>6.0x</t>
  </si>
  <si>
    <t>Facebook Ads</t>
  </si>
  <si>
    <t>Google Ads</t>
  </si>
  <si>
    <t>$249</t>
  </si>
  <si>
    <t>1.0x (break even)</t>
  </si>
  <si>
    <t>$0.20</t>
  </si>
  <si>
    <t>$8</t>
  </si>
  <si>
    <t>30x (but low intent)</t>
  </si>
  <si>
    <t>Slayer CPA Unit Economics</t>
  </si>
  <si>
    <t>Metric</t>
  </si>
  <si>
    <t>Value</t>
  </si>
  <si>
    <t>Monthly price</t>
  </si>
  <si>
    <t>$29.99</t>
  </si>
  <si>
    <t>Average months subscribed</t>
  </si>
  <si>
    <t>8</t>
  </si>
  <si>
    <t>Customer Lifetime Value (LTV)</t>
  </si>
  <si>
    <t>Target CAC (for 6:1 LTV:CAC)</t>
  </si>
  <si>
    <t>Target CAC (for 3:1 LTV:CAC)</t>
  </si>
  <si>
    <t>$80</t>
  </si>
  <si>
    <t>Recommended Approach (Phased)</t>
  </si>
  <si>
    <t>Phase</t>
  </si>
  <si>
    <t>Goal</t>
  </si>
  <si>
    <t>1 - Free</t>
  </si>
  <si>
    <t>Reddit organic (r/CPA, r/Accounting)</t>
  </si>
  <si>
    <t>Build trust, get first 10-20 users, learn what resonates</t>
  </si>
  <si>
    <t>2 - Test</t>
  </si>
  <si>
    <t>Reddit Ads targeting CPA subreddits</t>
  </si>
  <si>
    <t>Validate CAC &lt; $50. Test ad creative.</t>
  </si>
  <si>
    <t>3 - Scale</t>
  </si>
  <si>
    <t>Reddit Ads + Facebook retargeting</t>
  </si>
  <si>
    <t>$1-2K/mo</t>
  </si>
  <si>
    <t>Scale what works from Phase 2</t>
  </si>
  <si>
    <t>4 - Expand</t>
  </si>
  <si>
    <t>Add YouTube pre-roll, maybe TikTok</t>
  </si>
  <si>
    <t>$2-5K/mo</t>
  </si>
  <si>
    <t>Brand awareness to feed top of funnel</t>
  </si>
  <si>
    <t>Skip for now</t>
  </si>
  <si>
    <t>Too expensive at $6.23 CPC for a $30/mo product</t>
  </si>
  <si>
    <t>FAR Lesson Manifest — Aligned to AICPA 2026 Blueprint</t>
  </si>
  <si>
    <t>Lesson Title</t>
  </si>
  <si>
    <t>AICPA Code</t>
  </si>
  <si>
    <t>I.A</t>
  </si>
  <si>
    <t>REFACTOR</t>
  </si>
  <si>
    <t>Absorb old intro + financial statement presentation. Covers topics 1-4, 7 (BS, IS, OCI, equity stmt, notes).</t>
  </si>
  <si>
    <t>I.A.5</t>
  </si>
  <si>
    <t>(subtopic 5 within I.A)</t>
  </si>
  <si>
    <t>Already written from earlier restructure.</t>
  </si>
  <si>
    <t>I.A.6</t>
  </si>
  <si>
    <t>(subtopic 6 within I.A)</t>
  </si>
  <si>
    <t>Move from Area III to Area I. Already written (19-consolidations).</t>
  </si>
  <si>
    <t>I.B</t>
  </si>
  <si>
    <t>General-Purpose Financial Reporting: Nongovernmental NFP Entities</t>
  </si>
  <si>
    <t>Refactor from 21-not-for-profit. Move to Area I.</t>
  </si>
  <si>
    <t>I.C</t>
  </si>
  <si>
    <t>MERGE</t>
  </si>
  <si>
    <t>Merge lessons 22 + 23 back into one lesson.</t>
  </si>
  <si>
    <t>I.D</t>
  </si>
  <si>
    <t>Refactor from 04-earnings-per-share. Add SEC 10-Q/10-K/8-K content.</t>
  </si>
  <si>
    <t>I.E</t>
  </si>
  <si>
    <t>Already written (06-special-purpose-frameworks).</t>
  </si>
  <si>
    <t>I.F</t>
  </si>
  <si>
    <t>Profitability, liquidity, solvency ratios. Budget variances.</t>
  </si>
  <si>
    <t>II.A</t>
  </si>
  <si>
    <t>SPLIT</t>
  </si>
  <si>
    <t>Split from old 07-cash-and-receivables.</t>
  </si>
  <si>
    <t>II.B</t>
  </si>
  <si>
    <t>Split from old 07-cash-and-receivables. CECL, factoring, pledging.</t>
  </si>
  <si>
    <t>II.C</t>
  </si>
  <si>
    <t>Rename from 09-inventory.</t>
  </si>
  <si>
    <t>II.D</t>
  </si>
  <si>
    <t>Rename from 10-fixed-assets.</t>
  </si>
  <si>
    <t>II.E</t>
  </si>
  <si>
    <t>Fair value, amortized cost, equity method investments.</t>
  </si>
  <si>
    <t>II.F</t>
  </si>
  <si>
    <t>Rename from 11-intangible-assets.</t>
  </si>
  <si>
    <t>II.G</t>
  </si>
  <si>
    <t>Already written (12-payables-and-accrued-liabilities).</t>
  </si>
  <si>
    <t>II.H</t>
  </si>
  <si>
    <t>Rename from 14-bonds-and-debt.</t>
  </si>
  <si>
    <t>II.I</t>
  </si>
  <si>
    <t>Rename from 15-equity.</t>
  </si>
  <si>
    <t>III.A</t>
  </si>
  <si>
    <t>Already written (16-accounting-changes).</t>
  </si>
  <si>
    <t>III.B</t>
  </si>
  <si>
    <t>Rename from 17-contingencies.</t>
  </si>
  <si>
    <t>III.C</t>
  </si>
  <si>
    <t>Move from Area II to Area III. Rename from 08-revenue-recognition.</t>
  </si>
  <si>
    <t>III.D</t>
  </si>
  <si>
    <t>Rename from 18-income-taxes.</t>
  </si>
  <si>
    <t>III.E</t>
  </si>
  <si>
    <t>Rename from 20-fair-value.</t>
  </si>
  <si>
    <t>III.F</t>
  </si>
  <si>
    <t>Move from Area II to Area III. Rename from 13-leases.</t>
  </si>
  <si>
    <t>III.G</t>
  </si>
  <si>
    <t>Identifying, calculating adjustments, deriving impact.</t>
  </si>
  <si>
    <t>Dropped Lessons</t>
  </si>
  <si>
    <t>Old Lesson</t>
  </si>
  <si>
    <t>Disposition</t>
  </si>
  <si>
    <t>01-intro</t>
  </si>
  <si>
    <t>Absorbed into lesson 01 (For-Profit Financial Reporting)</t>
  </si>
  <si>
    <t>05-employee-benefit-plans</t>
  </si>
  <si>
    <t>No AICPA FAR group. Content folded into relevant lessons or flagged for removal.</t>
  </si>
  <si>
    <t>Summary</t>
  </si>
  <si>
    <t>Total lessons</t>
  </si>
  <si>
    <t>New to write</t>
  </si>
  <si>
    <t>3 (Ratios, Investments, Subsequent Events)</t>
  </si>
  <si>
    <t>Refactor/merge</t>
  </si>
  <si>
    <t>4 (For-Profit, EPS→Public Company, Govt merge, NFP move)</t>
  </si>
  <si>
    <t>Split</t>
  </si>
  <si>
    <t>1 (Cash &amp; Receivables → 2 lessons)</t>
  </si>
  <si>
    <t>Rename only</t>
  </si>
  <si>
    <t>Drop</t>
  </si>
  <si>
    <t>2 (Intro, Employee Benefits)</t>
  </si>
  <si>
    <t>Competition</t>
  </si>
  <si>
    <t>Share</t>
  </si>
  <si>
    <t>Cost</t>
  </si>
  <si>
    <t>Brand</t>
  </si>
  <si>
    <t>premium</t>
  </si>
  <si>
    <t>Uworld</t>
  </si>
  <si>
    <t>mid-tier</t>
  </si>
  <si>
    <t>Ninja</t>
  </si>
  <si>
    <t>niche</t>
  </si>
  <si>
    <t>per month</t>
  </si>
  <si>
    <t>I-75</t>
  </si>
  <si>
    <t>other</t>
  </si>
  <si>
    <t>ExamMatric / SIM</t>
  </si>
  <si>
    <t>Simulation-focused practice, niche</t>
  </si>
  <si>
    <t>Tutoring for CPAs (TFC)</t>
  </si>
  <si>
    <t>Tutoring/supplemental, not a full course</t>
  </si>
  <si>
    <t>CPA Exam Guy</t>
  </si>
  <si>
    <t>YouTube/supplement</t>
  </si>
  <si>
    <t>Farhat Accounting Lextures</t>
  </si>
  <si>
    <t>Total Other</t>
  </si>
  <si>
    <t>CPA Market</t>
  </si>
  <si>
    <t>Unique Testers</t>
  </si>
  <si>
    <t>New Testers</t>
  </si>
  <si>
    <t>Passed Last Sec</t>
  </si>
  <si>
    <t>NASBA blog</t>
  </si>
  <si>
    <t>NASBA 2025 Perf Book</t>
  </si>
  <si>
    <t>Pass Rates - 2024-2025</t>
  </si>
  <si>
    <t>Unique Candidate</t>
  </si>
  <si>
    <t>- 1 count per year if testing</t>
  </si>
  <si>
    <t>New Candidate</t>
  </si>
  <si>
    <t>- first time sitting ever</t>
  </si>
  <si>
    <t>Study Time</t>
  </si>
  <si>
    <t>Hours</t>
  </si>
  <si>
    <t>Months</t>
  </si>
  <si>
    <t>Window = 30 Months</t>
  </si>
  <si>
    <t>First Section 50% fail</t>
  </si>
  <si>
    <t>Market Estimates</t>
  </si>
  <si>
    <t>Sensitivity</t>
  </si>
  <si>
    <t>Est</t>
  </si>
  <si>
    <t>Per Month</t>
  </si>
  <si>
    <t>Average Months 4-Sections</t>
  </si>
  <si>
    <t>Lifetime Value</t>
  </si>
  <si>
    <t>Average</t>
  </si>
  <si>
    <t>Slayer-CPA Share Metrics and Revenue Potential</t>
  </si>
  <si>
    <t>Toggle</t>
  </si>
  <si>
    <t>Monthly Price</t>
  </si>
  <si>
    <t>Slayer-Capture</t>
  </si>
  <si>
    <t>Rolling Signups</t>
  </si>
  <si>
    <t>Monthly</t>
  </si>
  <si>
    <t>Traction</t>
  </si>
  <si>
    <t>Success</t>
  </si>
  <si>
    <t>Funnel and CAC</t>
  </si>
  <si>
    <t>Uworld + Roger + Wiley + CPA Excel - Acquired Roger CPA (2019), Wiley CPAexcel (2023). Rebranded Aug 2023. Poached Peter Olinto from Becker. 9,000+ MCQs. Claims 90% pass rate.</t>
  </si>
  <si>
    <t>Market</t>
  </si>
  <si>
    <t>Review</t>
  </si>
  <si>
    <t>Potential</t>
  </si>
  <si>
    <t>Big Money</t>
  </si>
  <si>
    <t>Set</t>
  </si>
  <si>
    <t>High Churn 6M</t>
  </si>
  <si>
    <t>Low Churn 12M</t>
  </si>
  <si>
    <t>Marker</t>
  </si>
  <si>
    <t>Problem</t>
  </si>
  <si>
    <t>Giving</t>
  </si>
  <si>
    <t>Away</t>
  </si>
  <si>
    <t xml:space="preserve">The </t>
  </si>
  <si>
    <t>Money</t>
  </si>
  <si>
    <t>Revenue</t>
  </si>
  <si>
    <t>Monthly Cost</t>
  </si>
  <si>
    <t>Average Months</t>
  </si>
  <si>
    <t>Ramps</t>
  </si>
  <si>
    <t>Slow</t>
  </si>
  <si>
    <t>Steady</t>
  </si>
  <si>
    <t>Explosive</t>
  </si>
  <si>
    <t>Projections</t>
  </si>
  <si>
    <t>Operating Income</t>
  </si>
  <si>
    <t>Net Income</t>
  </si>
  <si>
    <t>Total Market</t>
  </si>
  <si>
    <t>NetFlare</t>
  </si>
  <si>
    <t>Google Workspace</t>
  </si>
  <si>
    <t>Stripe</t>
  </si>
  <si>
    <t>Read-in</t>
  </si>
  <si>
    <t>Cost of Goods Sold</t>
  </si>
  <si>
    <t>Total Revenue</t>
  </si>
  <si>
    <t>Total Cost of Goods Sold</t>
  </si>
  <si>
    <t>Operating Expenses</t>
  </si>
  <si>
    <t>Total Operating Expenses</t>
  </si>
  <si>
    <t>Placeholder</t>
  </si>
  <si>
    <t>Market Share</t>
  </si>
  <si>
    <t>Solo instructor. Darius Clark. 5,000+ MCQs. 91% claimed pass rate. Strong YouTube following.</t>
  </si>
  <si>
    <t>Select Ramp</t>
  </si>
  <si>
    <t>New Subscribers</t>
  </si>
  <si>
    <t>Selected Share</t>
  </si>
  <si>
    <t>Customer Lifetime</t>
  </si>
  <si>
    <t>Market Slayer-CPA</t>
  </si>
  <si>
    <t>Market Curret</t>
  </si>
  <si>
    <t>Subscription Revenue</t>
  </si>
  <si>
    <t>Support</t>
  </si>
  <si>
    <t>estimate</t>
  </si>
  <si>
    <t>Inc Stmt</t>
  </si>
  <si>
    <t>Self-Sufficient</t>
  </si>
  <si>
    <t xml:space="preserve"> </t>
  </si>
  <si>
    <t>Cost of Acquisition</t>
  </si>
  <si>
    <t>Customer Acquisition</t>
  </si>
  <si>
    <t>Taxes</t>
  </si>
  <si>
    <t>Tax Rate</t>
  </si>
  <si>
    <t>Stripe Take</t>
  </si>
  <si>
    <t>Vercel (pro)</t>
  </si>
  <si>
    <t>Supabase (pro)</t>
  </si>
  <si>
    <t>Cust LT Cost</t>
  </si>
  <si>
    <t>Major Assumptions</t>
  </si>
  <si>
    <t>Other Assumptions</t>
  </si>
  <si>
    <t>built into CAC ($240)</t>
  </si>
  <si>
    <t>Revenue Ramps / Sensitivity</t>
  </si>
  <si>
    <t>5+ Years</t>
  </si>
  <si>
    <t>4 Years</t>
  </si>
  <si>
    <t>2 Years</t>
  </si>
  <si>
    <t>Med-Low</t>
  </si>
  <si>
    <t>Med-High</t>
  </si>
  <si>
    <t>CPA Est. TAM</t>
  </si>
  <si>
    <t>Organic Reddit Plan</t>
  </si>
  <si>
    <t>Always user slayer-cpa NOT Sidemarx</t>
  </si>
  <si>
    <t>Target 3 Solid Answers a day on:</t>
  </si>
  <si>
    <t>http://reddit.com/r/CPA</t>
  </si>
  <si>
    <t>Save write-ups - possible future tracking on what clicked and drove traffic</t>
  </si>
  <si>
    <t>Look for structural persistent questions</t>
  </si>
  <si>
    <t>Try to gauge / poll study styles (memorize, conceptual, only MCQ, etc)</t>
  </si>
  <si>
    <t>C:\Users\james\Desktop\slayer-cpa\market-research\reddit-posts\template.md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</si>
</sst>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8" formatCode="&quot;$&quot;#,##0.00_);[Red]\(&quot;$&quot;#,##0.00\)"/>
    <numFmt numFmtId="43" formatCode="_(* #,##0.00_);_(* \(#,##0.00\);_(* &quot;-&quot;??_);_(@_)"/>
    <numFmt numFmtId="164" formatCode="_(* #,##0_);_(* \(#,##0\);_(* &quot;-&quot;??_);_(@_)"/>
    <numFmt numFmtId="165" formatCode="0.0%"/>
  </numFmts>
  <fonts count="25" x14ac:knownFonts="1">
    <font>
      <sz val="12"/>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b/>
      <sz val="10"/>
      <color theme="1"/>
      <name val="Calibri"/>
      <family val="2"/>
      <scheme val="minor"/>
    </font>
    <font>
      <sz val="11"/>
      <color theme="1"/>
      <name val="Calibri"/>
      <family val="2"/>
      <scheme val="minor"/>
    </font>
    <font>
      <sz val="10"/>
      <color theme="1"/>
      <name val="Calibri"/>
      <family val="2"/>
    </font>
    <font>
      <b/>
      <sz val="10"/>
      <name val="Calibri"/>
      <family val="2"/>
    </font>
    <font>
      <b/>
      <sz val="10"/>
      <color theme="1"/>
      <name val="Calibri"/>
      <family val="2"/>
    </font>
    <font>
      <b/>
      <sz val="10"/>
      <color rgb="FFFFFFFF"/>
      <name val="Calibri"/>
      <family val="2"/>
    </font>
    <font>
      <b/>
      <sz val="10"/>
      <color rgb="FFFFFFFF"/>
      <name val="Calibri"/>
      <family val="2"/>
      <scheme val="minor"/>
    </font>
    <font>
      <b/>
      <sz val="30"/>
      <color rgb="FFFFFFFF"/>
      <name val="Calibri"/>
      <family val="2"/>
    </font>
    <font>
      <sz val="10"/>
      <name val="Calibri"/>
      <family val="2"/>
    </font>
    <font>
      <b/>
      <sz val="20"/>
      <color rgb="FFFFFFFF"/>
      <name val="Calibri"/>
      <family val="2"/>
      <scheme val="minor"/>
    </font>
    <font>
      <sz val="20"/>
      <color theme="1"/>
      <name val="Calibri"/>
      <family val="2"/>
      <scheme val="minor"/>
    </font>
    <font>
      <sz val="14"/>
      <color theme="1"/>
      <name val="Calibri"/>
      <family val="2"/>
      <scheme val="minor"/>
    </font>
    <font>
      <b/>
      <sz val="14"/>
      <color rgb="FFFFFFFF"/>
      <name val="Calibri"/>
      <family val="2"/>
      <scheme val="minor"/>
    </font>
    <font>
      <b/>
      <i/>
      <sz val="20"/>
      <color rgb="FFFFFFFF"/>
      <name val="Calibri"/>
      <family val="2"/>
      <scheme val="minor"/>
    </font>
    <font>
      <i/>
      <sz val="10"/>
      <color theme="1"/>
      <name val="Calibri"/>
      <family val="2"/>
      <scheme val="minor"/>
    </font>
    <font>
      <b/>
      <i/>
      <sz val="14"/>
      <color rgb="FFFFFFFF"/>
      <name val="Calibri"/>
      <family val="2"/>
      <scheme val="minor"/>
    </font>
    <font>
      <b/>
      <i/>
      <sz val="10"/>
      <color theme="1"/>
      <name val="Calibri"/>
      <family val="2"/>
      <scheme val="minor"/>
    </font>
    <font>
      <sz val="10"/>
      <name val="Calibri"/>
      <family val="2"/>
      <scheme val="minor"/>
    </font>
    <font>
      <i/>
      <sz val="12"/>
      <color theme="1"/>
      <name val="Calibri"/>
      <family val="2"/>
      <scheme val="minor"/>
    </font>
    <font>
      <u/>
      <sz val="12"/>
      <color theme="10"/>
      <name val="Calibri"/>
      <family val="2"/>
      <scheme val="minor"/>
    </font>
    <font>
      <u/>
      <sz val="10"/>
      <color theme="10"/>
      <name val="Calibri"/>
      <family val="2"/>
      <scheme val="minor"/>
    </font>
  </fonts>
  <fills count="12">
    <fill>
      <patternFill patternType="none"/>
    </fill>
    <fill>
      <patternFill patternType="gray125"/>
    </fill>
    <fill>
      <patternFill patternType="solid">
        <fgColor theme="2"/>
        <bgColor indexed="64"/>
      </patternFill>
    </fill>
    <fill>
      <patternFill patternType="solid">
        <fgColor rgb="FF275317"/>
        <bgColor indexed="64"/>
      </patternFill>
    </fill>
    <fill>
      <patternFill patternType="solid">
        <fgColor rgb="FFFFFFCC"/>
        <bgColor indexed="64"/>
      </patternFill>
    </fill>
    <fill>
      <patternFill patternType="solid">
        <fgColor rgb="FF00B050"/>
        <bgColor indexed="64"/>
      </patternFill>
    </fill>
    <fill>
      <patternFill patternType="solid">
        <fgColor rgb="FFFFFF00"/>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6" tint="0.79998168889431442"/>
        <bgColor indexed="64"/>
      </patternFill>
    </fill>
    <fill>
      <patternFill patternType="solid">
        <fgColor rgb="FFB9FBC0"/>
        <bgColor indexed="64"/>
      </patternFill>
    </fill>
    <fill>
      <patternFill patternType="solid">
        <fgColor theme="0" tint="-4.9989318521683403E-2"/>
        <bgColor indexed="64"/>
      </patternFill>
    </fill>
  </fills>
  <borders count="12">
    <border>
      <left/>
      <right/>
      <top/>
      <bottom/>
      <diagonal/>
    </border>
    <border>
      <left style="medium">
        <color indexed="64"/>
      </left>
      <right style="medium">
        <color indexed="64"/>
      </right>
      <top style="medium">
        <color indexed="64"/>
      </top>
      <bottom style="medium">
        <color indexed="64"/>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Dashed">
        <color indexed="64"/>
      </left>
      <right style="mediumDashed">
        <color indexed="64"/>
      </right>
      <top style="mediumDashed">
        <color indexed="64"/>
      </top>
      <bottom style="mediumDashed">
        <color indexed="64"/>
      </bottom>
      <diagonal/>
    </border>
  </borders>
  <cellStyleXfs count="5">
    <xf numFmtId="0" fontId="0" fillId="0" borderId="0"/>
    <xf numFmtId="0" fontId="3" fillId="0" borderId="0"/>
    <xf numFmtId="0" fontId="5" fillId="0" borderId="0"/>
    <xf numFmtId="43" fontId="3" fillId="0" borderId="0"/>
    <xf numFmtId="0" fontId="23" fillId="0" borderId="0" applyNumberFormat="0" applyFill="0" applyBorder="0" applyAlignment="0" applyProtection="0"/>
  </cellStyleXfs>
  <cellXfs count="85">
    <xf numFmtId="0" fontId="0" fillId="0" borderId="0" xfId="0"/>
    <xf numFmtId="0" fontId="3" fillId="0" borderId="0" xfId="0" applyFont="1"/>
    <xf numFmtId="0" fontId="6" fillId="0" borderId="0" xfId="2" applyFont="1"/>
    <xf numFmtId="0" fontId="7" fillId="2" borderId="0" xfId="2" applyFont="1" applyFill="1" applyAlignment="1">
      <alignment horizontal="left"/>
    </xf>
    <xf numFmtId="0" fontId="7" fillId="2" borderId="0" xfId="2" applyFont="1" applyFill="1" applyAlignment="1">
      <alignment horizontal="centerContinuous"/>
    </xf>
    <xf numFmtId="0" fontId="7" fillId="0" borderId="0" xfId="2" applyFont="1" applyAlignment="1">
      <alignment horizontal="centerContinuous"/>
    </xf>
    <xf numFmtId="0" fontId="8" fillId="0" borderId="0" xfId="2" applyFont="1"/>
    <xf numFmtId="0" fontId="9" fillId="3" borderId="0" xfId="2" applyFont="1" applyFill="1" applyAlignment="1">
      <alignment horizontal="centerContinuous"/>
    </xf>
    <xf numFmtId="9" fontId="6" fillId="0" borderId="0" xfId="2" applyNumberFormat="1" applyFont="1"/>
    <xf numFmtId="6" fontId="6" fillId="0" borderId="0" xfId="2" applyNumberFormat="1" applyFont="1"/>
    <xf numFmtId="8" fontId="6" fillId="0" borderId="0" xfId="2" applyNumberFormat="1" applyFont="1"/>
    <xf numFmtId="0" fontId="6" fillId="2" borderId="0" xfId="2" applyFont="1" applyFill="1"/>
    <xf numFmtId="6" fontId="6" fillId="2" borderId="0" xfId="2" applyNumberFormat="1" applyFont="1" applyFill="1"/>
    <xf numFmtId="0" fontId="9" fillId="3" borderId="0" xfId="2" applyFont="1" applyFill="1"/>
    <xf numFmtId="9" fontId="9" fillId="3" borderId="0" xfId="2" applyNumberFormat="1" applyFont="1" applyFill="1"/>
    <xf numFmtId="164" fontId="6" fillId="0" borderId="0" xfId="3" applyNumberFormat="1" applyFont="1"/>
    <xf numFmtId="0" fontId="6" fillId="2" borderId="0" xfId="2" applyFont="1" applyFill="1" applyAlignment="1">
      <alignment horizontal="center"/>
    </xf>
    <xf numFmtId="0" fontId="8" fillId="2" borderId="0" xfId="2" applyFont="1" applyFill="1"/>
    <xf numFmtId="0" fontId="6" fillId="0" borderId="0" xfId="2" quotePrefix="1" applyFont="1"/>
    <xf numFmtId="6" fontId="6" fillId="0" borderId="0" xfId="2" applyNumberFormat="1" applyFont="1" applyAlignment="1">
      <alignment horizontal="left"/>
    </xf>
    <xf numFmtId="8" fontId="7" fillId="4" borderId="1" xfId="2" applyNumberFormat="1" applyFont="1" applyFill="1" applyBorder="1" applyAlignment="1">
      <alignment horizontal="centerContinuous"/>
    </xf>
    <xf numFmtId="10" fontId="6" fillId="0" borderId="0" xfId="2" applyNumberFormat="1" applyFont="1"/>
    <xf numFmtId="164" fontId="6" fillId="0" borderId="0" xfId="2" applyNumberFormat="1" applyFont="1"/>
    <xf numFmtId="0" fontId="6" fillId="5" borderId="0" xfId="2" applyFont="1" applyFill="1"/>
    <xf numFmtId="0" fontId="4" fillId="0" borderId="0" xfId="0" applyFont="1"/>
    <xf numFmtId="0" fontId="10" fillId="3" borderId="0" xfId="0" applyFont="1" applyFill="1"/>
    <xf numFmtId="0" fontId="10" fillId="3" borderId="0" xfId="0" applyFont="1" applyFill="1" applyAlignment="1">
      <alignment horizontal="centerContinuous"/>
    </xf>
    <xf numFmtId="0" fontId="10" fillId="3" borderId="0" xfId="0" applyFont="1" applyFill="1" applyAlignment="1">
      <alignment horizontal="left"/>
    </xf>
    <xf numFmtId="6" fontId="3" fillId="0" borderId="0" xfId="0" applyNumberFormat="1" applyFont="1"/>
    <xf numFmtId="0" fontId="6" fillId="6" borderId="0" xfId="2" applyFont="1" applyFill="1"/>
    <xf numFmtId="0" fontId="3" fillId="6" borderId="0" xfId="0" applyFont="1" applyFill="1"/>
    <xf numFmtId="0" fontId="11" fillId="3" borderId="0" xfId="1" applyFont="1" applyFill="1" applyAlignment="1">
      <alignment horizontal="left"/>
    </xf>
    <xf numFmtId="0" fontId="11" fillId="3" borderId="0" xfId="1" applyFont="1" applyFill="1"/>
    <xf numFmtId="0" fontId="6" fillId="4" borderId="0" xfId="2" applyFont="1" applyFill="1"/>
    <xf numFmtId="0" fontId="6" fillId="7" borderId="0" xfId="2" applyFont="1" applyFill="1"/>
    <xf numFmtId="0" fontId="12" fillId="8" borderId="0" xfId="2" applyFont="1" applyFill="1"/>
    <xf numFmtId="0" fontId="12" fillId="9" borderId="0" xfId="2" applyFont="1" applyFill="1"/>
    <xf numFmtId="0" fontId="6" fillId="10" borderId="0" xfId="2" applyFont="1" applyFill="1"/>
    <xf numFmtId="0" fontId="9" fillId="3" borderId="0" xfId="2" applyFont="1" applyFill="1" applyAlignment="1">
      <alignment horizontal="center"/>
    </xf>
    <xf numFmtId="9" fontId="3" fillId="0" borderId="0" xfId="0" applyNumberFormat="1" applyFont="1"/>
    <xf numFmtId="3" fontId="3" fillId="0" borderId="0" xfId="0" applyNumberFormat="1" applyFont="1"/>
    <xf numFmtId="8" fontId="4" fillId="0" borderId="3" xfId="0" applyNumberFormat="1" applyFont="1" applyBorder="1"/>
    <xf numFmtId="8" fontId="4" fillId="0" borderId="2" xfId="0" applyNumberFormat="1" applyFont="1" applyBorder="1"/>
    <xf numFmtId="8" fontId="4" fillId="0" borderId="4" xfId="0" applyNumberFormat="1" applyFont="1" applyBorder="1"/>
    <xf numFmtId="0" fontId="3" fillId="11" borderId="0" xfId="0" applyFont="1" applyFill="1"/>
    <xf numFmtId="165" fontId="3" fillId="0" borderId="0" xfId="0" applyNumberFormat="1" applyFont="1"/>
    <xf numFmtId="0" fontId="13" fillId="3" borderId="0" xfId="1" applyFont="1" applyFill="1" applyAlignment="1">
      <alignment horizontal="left"/>
    </xf>
    <xf numFmtId="0" fontId="13" fillId="3" borderId="0" xfId="1" applyFont="1" applyFill="1"/>
    <xf numFmtId="0" fontId="14" fillId="0" borderId="0" xfId="0" applyFont="1"/>
    <xf numFmtId="0" fontId="14" fillId="0" borderId="0" xfId="2" applyFont="1"/>
    <xf numFmtId="6" fontId="4" fillId="0" borderId="3" xfId="0" applyNumberFormat="1" applyFont="1" applyBorder="1"/>
    <xf numFmtId="0" fontId="10" fillId="0" borderId="0" xfId="0" applyFont="1"/>
    <xf numFmtId="6" fontId="4" fillId="0" borderId="2" xfId="0" applyNumberFormat="1" applyFont="1" applyBorder="1"/>
    <xf numFmtId="6" fontId="4" fillId="0" borderId="4" xfId="0" applyNumberFormat="1" applyFont="1" applyBorder="1"/>
    <xf numFmtId="6" fontId="3" fillId="0" borderId="8" xfId="0" applyNumberFormat="1" applyFont="1" applyBorder="1"/>
    <xf numFmtId="6" fontId="3" fillId="0" borderId="9" xfId="0" applyNumberFormat="1" applyFont="1" applyBorder="1"/>
    <xf numFmtId="6" fontId="3" fillId="11" borderId="9" xfId="0" applyNumberFormat="1" applyFont="1" applyFill="1" applyBorder="1"/>
    <xf numFmtId="6" fontId="3" fillId="11" borderId="10" xfId="0" applyNumberFormat="1" applyFont="1" applyFill="1" applyBorder="1"/>
    <xf numFmtId="6" fontId="4" fillId="0" borderId="0" xfId="0" applyNumberFormat="1" applyFont="1"/>
    <xf numFmtId="0" fontId="15" fillId="0" borderId="0" xfId="0" applyFont="1"/>
    <xf numFmtId="0" fontId="16" fillId="3" borderId="0" xfId="0" applyFont="1" applyFill="1" applyAlignment="1">
      <alignment horizontal="centerContinuous"/>
    </xf>
    <xf numFmtId="0" fontId="16" fillId="3" borderId="0" xfId="0" applyFont="1" applyFill="1"/>
    <xf numFmtId="0" fontId="17" fillId="3" borderId="0" xfId="1" applyFont="1" applyFill="1"/>
    <xf numFmtId="0" fontId="18" fillId="0" borderId="0" xfId="0" applyFont="1"/>
    <xf numFmtId="0" fontId="19" fillId="3" borderId="0" xfId="0" applyFont="1" applyFill="1" applyAlignment="1">
      <alignment horizontal="centerContinuous"/>
    </xf>
    <xf numFmtId="0" fontId="20" fillId="0" borderId="0" xfId="0" applyFont="1"/>
    <xf numFmtId="0" fontId="4" fillId="4" borderId="11" xfId="0" applyFont="1" applyFill="1" applyBorder="1" applyAlignment="1">
      <alignment horizontal="center"/>
    </xf>
    <xf numFmtId="6" fontId="21" fillId="0" borderId="5" xfId="0" applyNumberFormat="1" applyFont="1" applyBorder="1"/>
    <xf numFmtId="6" fontId="21" fillId="0" borderId="6" xfId="0" applyNumberFormat="1" applyFont="1" applyBorder="1"/>
    <xf numFmtId="6" fontId="21" fillId="0" borderId="7" xfId="0" applyNumberFormat="1" applyFont="1" applyBorder="1"/>
    <xf numFmtId="0" fontId="2" fillId="0" borderId="0" xfId="0" applyFont="1"/>
    <xf numFmtId="6" fontId="2" fillId="0" borderId="0" xfId="0" applyNumberFormat="1" applyFont="1"/>
    <xf numFmtId="0" fontId="22" fillId="0" borderId="0" xfId="0" applyFont="1"/>
    <xf numFmtId="0" fontId="16" fillId="0" borderId="0" xfId="0" applyFont="1" applyAlignment="1">
      <alignment horizontal="centerContinuous"/>
    </xf>
    <xf numFmtId="6" fontId="4" fillId="4" borderId="11" xfId="0" applyNumberFormat="1" applyFont="1" applyFill="1" applyBorder="1" applyAlignment="1">
      <alignment horizontal="center"/>
    </xf>
    <xf numFmtId="9" fontId="4" fillId="4" borderId="11" xfId="0" applyNumberFormat="1" applyFont="1" applyFill="1" applyBorder="1" applyAlignment="1">
      <alignment horizontal="center"/>
    </xf>
    <xf numFmtId="0" fontId="1" fillId="0" borderId="0" xfId="0" applyFont="1"/>
    <xf numFmtId="14" fontId="1" fillId="0" borderId="0" xfId="0" applyNumberFormat="1" applyFont="1"/>
    <xf numFmtId="0" fontId="10" fillId="3" borderId="0" xfId="1" applyFont="1" applyFill="1" applyAlignment="1">
      <alignment horizontal="left"/>
    </xf>
    <xf numFmtId="0" fontId="10" fillId="3" borderId="0" xfId="1" applyFont="1" applyFill="1"/>
    <xf numFmtId="0" fontId="1" fillId="0" borderId="0" xfId="2" applyFont="1"/>
    <xf numFmtId="14" fontId="1" fillId="0" borderId="0" xfId="0" applyNumberFormat="1" applyFont="1" applyAlignment="1">
      <alignment horizontal="centerContinuous"/>
    </xf>
    <xf numFmtId="0" fontId="1" fillId="0" borderId="0" xfId="0" applyFont="1" applyAlignment="1">
      <alignment horizontal="centerContinuous"/>
    </xf>
    <xf numFmtId="0" fontId="1" fillId="4" borderId="0" xfId="0" applyFont="1" applyFill="1"/>
    <xf numFmtId="0" fontId="24" fillId="4" borderId="0" xfId="4" applyFont="1" applyFill="1"/>
  </cellXfs>
  <cellStyles count="5">
    <cellStyle name="Comma 2" xfId="3" xr:uid="{747AE582-89AB-4EFE-BFA2-5782D50F73F5}"/>
    <cellStyle name="Hyperlink" xfId="4" builtinId="8"/>
    <cellStyle name="Normal" xfId="0" builtinId="0"/>
    <cellStyle name="Normal 2" xfId="1" xr:uid="{5F560D7C-83E9-4728-A586-C9F90CFE70FA}"/>
    <cellStyle name="Normal 3" xfId="2" xr:uid="{07940B1B-6C58-40FD-A5A8-A4F8FC24B5B0}"/>
  </cellStyles>
  <dxfs count="0"/>
  <tableStyles count="0" defaultTableStyle="TableStyleMedium9" defaultPivotStyle="PivotStyleMedium4"/>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12</xdr:col>
      <xdr:colOff>0</xdr:colOff>
      <xdr:row>3</xdr:row>
      <xdr:rowOff>0</xdr:rowOff>
    </xdr:from>
    <xdr:to>
      <xdr:col>20</xdr:col>
      <xdr:colOff>115082</xdr:colOff>
      <xdr:row>28</xdr:row>
      <xdr:rowOff>95828</xdr:rowOff>
    </xdr:to>
    <xdr:pic>
      <xdr:nvPicPr>
        <xdr:cNvPr id="2" name="Picture 1">
          <a:extLst>
            <a:ext uri="{FF2B5EF4-FFF2-40B4-BE49-F238E27FC236}">
              <a16:creationId xmlns:a16="http://schemas.microsoft.com/office/drawing/2014/main" id="{BF9B8967-2540-7B82-BEBB-F0EE02F34D1D}"/>
            </a:ext>
          </a:extLst>
        </xdr:cNvPr>
        <xdr:cNvPicPr>
          <a:picLocks noChangeAspect="1"/>
        </xdr:cNvPicPr>
      </xdr:nvPicPr>
      <xdr:blipFill>
        <a:blip xmlns:r="http://schemas.openxmlformats.org/officeDocument/2006/relationships" r:embed="rId1"/>
        <a:stretch>
          <a:fillRect/>
        </a:stretch>
      </xdr:blipFill>
      <xdr:spPr>
        <a:xfrm>
          <a:off x="7258050" y="485775"/>
          <a:ext cx="5601482" cy="414395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xdr:row>
      <xdr:rowOff>0</xdr:rowOff>
    </xdr:from>
    <xdr:to>
      <xdr:col>21</xdr:col>
      <xdr:colOff>554952</xdr:colOff>
      <xdr:row>33</xdr:row>
      <xdr:rowOff>124214</xdr:rowOff>
    </xdr:to>
    <xdr:grpSp>
      <xdr:nvGrpSpPr>
        <xdr:cNvPr id="2" name="Group 1">
          <a:extLst>
            <a:ext uri="{FF2B5EF4-FFF2-40B4-BE49-F238E27FC236}">
              <a16:creationId xmlns:a16="http://schemas.microsoft.com/office/drawing/2014/main" id="{2E0E71A7-45AA-40AB-A54B-9A6E1EE77165}"/>
            </a:ext>
          </a:extLst>
        </xdr:cNvPr>
        <xdr:cNvGrpSpPr/>
      </xdr:nvGrpSpPr>
      <xdr:grpSpPr>
        <a:xfrm>
          <a:off x="685800" y="895350"/>
          <a:ext cx="14270952" cy="6124964"/>
          <a:chOff x="6457950" y="12477750"/>
          <a:chExt cx="17947603" cy="8153790"/>
        </a:xfrm>
      </xdr:grpSpPr>
      <xdr:grpSp>
        <xdr:nvGrpSpPr>
          <xdr:cNvPr id="3" name="Group 2">
            <a:extLst>
              <a:ext uri="{FF2B5EF4-FFF2-40B4-BE49-F238E27FC236}">
                <a16:creationId xmlns:a16="http://schemas.microsoft.com/office/drawing/2014/main" id="{B6654249-1DDE-60D9-FE61-D5F3787B1957}"/>
              </a:ext>
            </a:extLst>
          </xdr:cNvPr>
          <xdr:cNvGrpSpPr/>
        </xdr:nvGrpSpPr>
        <xdr:grpSpPr>
          <a:xfrm>
            <a:off x="6457950" y="15906750"/>
            <a:ext cx="16175799" cy="4724790"/>
            <a:chOff x="7581900" y="6991350"/>
            <a:chExt cx="16842549" cy="4724790"/>
          </a:xfrm>
        </xdr:grpSpPr>
        <xdr:pic>
          <xdr:nvPicPr>
            <xdr:cNvPr id="5" name="Picture 4">
              <a:extLst>
                <a:ext uri="{FF2B5EF4-FFF2-40B4-BE49-F238E27FC236}">
                  <a16:creationId xmlns:a16="http://schemas.microsoft.com/office/drawing/2014/main" id="{A0AE7817-253B-4DBC-FB30-781D02BA8FE0}"/>
                </a:ext>
              </a:extLst>
            </xdr:cNvPr>
            <xdr:cNvPicPr>
              <a:picLocks noChangeAspect="1"/>
            </xdr:cNvPicPr>
          </xdr:nvPicPr>
          <xdr:blipFill>
            <a:blip xmlns:r="http://schemas.openxmlformats.org/officeDocument/2006/relationships" r:embed="rId1"/>
            <a:stretch>
              <a:fillRect/>
            </a:stretch>
          </xdr:blipFill>
          <xdr:spPr>
            <a:xfrm>
              <a:off x="7591425" y="8924925"/>
              <a:ext cx="16833024" cy="2791215"/>
            </a:xfrm>
            <a:prstGeom prst="rect">
              <a:avLst/>
            </a:prstGeom>
          </xdr:spPr>
        </xdr:pic>
        <xdr:pic>
          <xdr:nvPicPr>
            <xdr:cNvPr id="6" name="Picture 5">
              <a:extLst>
                <a:ext uri="{FF2B5EF4-FFF2-40B4-BE49-F238E27FC236}">
                  <a16:creationId xmlns:a16="http://schemas.microsoft.com/office/drawing/2014/main" id="{C413750A-5EB0-1B36-28DC-07C2A7AB05AF}"/>
                </a:ext>
              </a:extLst>
            </xdr:cNvPr>
            <xdr:cNvPicPr>
              <a:picLocks noChangeAspect="1"/>
            </xdr:cNvPicPr>
          </xdr:nvPicPr>
          <xdr:blipFill>
            <a:blip xmlns:r="http://schemas.openxmlformats.org/officeDocument/2006/relationships" r:embed="rId2"/>
            <a:stretch>
              <a:fillRect/>
            </a:stretch>
          </xdr:blipFill>
          <xdr:spPr>
            <a:xfrm>
              <a:off x="7581900" y="6991350"/>
              <a:ext cx="6125430" cy="1743318"/>
            </a:xfrm>
            <a:prstGeom prst="rect">
              <a:avLst/>
            </a:prstGeom>
          </xdr:spPr>
        </xdr:pic>
      </xdr:grpSp>
      <xdr:pic>
        <xdr:nvPicPr>
          <xdr:cNvPr id="4" name="Picture 3">
            <a:extLst>
              <a:ext uri="{FF2B5EF4-FFF2-40B4-BE49-F238E27FC236}">
                <a16:creationId xmlns:a16="http://schemas.microsoft.com/office/drawing/2014/main" id="{D6A452CD-2BB6-1BE8-30BA-A0F07C141392}"/>
              </a:ext>
            </a:extLst>
          </xdr:cNvPr>
          <xdr:cNvPicPr>
            <a:picLocks noChangeAspect="1"/>
          </xdr:cNvPicPr>
        </xdr:nvPicPr>
        <xdr:blipFill>
          <a:blip xmlns:r="http://schemas.openxmlformats.org/officeDocument/2006/relationships" r:embed="rId3"/>
          <a:stretch>
            <a:fillRect/>
          </a:stretch>
        </xdr:blipFill>
        <xdr:spPr>
          <a:xfrm>
            <a:off x="6467475" y="12477750"/>
            <a:ext cx="17938078" cy="3219899"/>
          </a:xfrm>
          <a:prstGeom prst="rect">
            <a:avLst/>
          </a:prstGeom>
        </xdr:spPr>
      </xdr:pic>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reddit.com/r/CPA"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D3B1F-4BC2-4218-A20C-8BBB3919861B}">
  <sheetPr>
    <tabColor rgb="FFFFFFCC"/>
  </sheetPr>
  <dimension ref="A1:AC69"/>
  <sheetViews>
    <sheetView zoomScale="130" zoomScaleNormal="130" workbookViewId="0">
      <pane xSplit="2" ySplit="3" topLeftCell="C21" activePane="bottomRight" state="frozen"/>
      <selection pane="topRight" activeCell="C1" sqref="C1"/>
      <selection pane="bottomLeft" activeCell="A4" sqref="A4"/>
      <selection pane="bottomRight" activeCell="C42" sqref="C42"/>
    </sheetView>
  </sheetViews>
  <sheetFormatPr defaultColWidth="12.625" defaultRowHeight="18.75" x14ac:dyDescent="0.3"/>
  <cols>
    <col min="1" max="6" width="2.625" style="1" customWidth="1"/>
    <col min="7" max="7" width="9" style="1" customWidth="1"/>
    <col min="8" max="12" width="12.625" style="1" customWidth="1"/>
    <col min="13" max="13" width="2.625" style="1" customWidth="1"/>
    <col min="14" max="14" width="20.625" style="63" customWidth="1"/>
    <col min="15" max="15" width="2.625" style="1" customWidth="1"/>
    <col min="16" max="17" width="14.625" style="1" customWidth="1"/>
    <col min="18" max="18" width="2.625" style="1" customWidth="1"/>
    <col min="19" max="19" width="20.625" style="72" customWidth="1"/>
    <col min="20" max="20" width="2.625" style="73" customWidth="1"/>
    <col min="21" max="16384" width="12.625" style="1"/>
  </cols>
  <sheetData>
    <row r="1" spans="1:29" s="49" customFormat="1" ht="26.25" x14ac:dyDescent="0.4">
      <c r="A1" s="46" t="s">
        <v>582</v>
      </c>
      <c r="B1" s="46"/>
      <c r="C1" s="46"/>
      <c r="D1" s="46"/>
      <c r="E1" s="46"/>
      <c r="F1" s="47"/>
      <c r="G1" s="47"/>
      <c r="H1" s="47"/>
      <c r="I1" s="47"/>
      <c r="J1" s="47"/>
      <c r="K1" s="47"/>
      <c r="L1" s="47"/>
      <c r="M1" s="47"/>
      <c r="N1" s="62"/>
      <c r="O1" s="47"/>
      <c r="P1" s="47"/>
      <c r="Q1" s="47"/>
      <c r="R1" s="47"/>
      <c r="S1" s="47"/>
      <c r="T1" s="47"/>
      <c r="U1" s="47"/>
      <c r="V1" s="47"/>
      <c r="W1" s="47"/>
    </row>
    <row r="2" spans="1:29" x14ac:dyDescent="0.3">
      <c r="C2" s="24"/>
      <c r="S2" s="63"/>
    </row>
    <row r="3" spans="1:29" s="59" customFormat="1" x14ac:dyDescent="0.3">
      <c r="C3" s="60" t="s">
        <v>607</v>
      </c>
      <c r="D3" s="60"/>
      <c r="E3" s="60"/>
      <c r="F3" s="60"/>
      <c r="G3" s="60"/>
      <c r="H3" s="60">
        <v>2026</v>
      </c>
      <c r="I3" s="60">
        <v>2027</v>
      </c>
      <c r="J3" s="60">
        <v>2028</v>
      </c>
      <c r="K3" s="60">
        <v>2029</v>
      </c>
      <c r="L3" s="60">
        <v>2030</v>
      </c>
      <c r="N3" s="64" t="s">
        <v>251</v>
      </c>
      <c r="P3" s="60" t="s">
        <v>618</v>
      </c>
      <c r="Q3" s="60"/>
      <c r="S3" s="64" t="s">
        <v>251</v>
      </c>
      <c r="T3" s="73"/>
      <c r="U3" s="60" t="s">
        <v>605</v>
      </c>
      <c r="V3" s="60"/>
      <c r="W3" s="60"/>
      <c r="X3" s="1"/>
      <c r="Y3" s="1"/>
      <c r="Z3" s="1"/>
      <c r="AA3" s="1"/>
      <c r="AB3" s="1"/>
      <c r="AC3" s="1"/>
    </row>
    <row r="4" spans="1:29" ht="19.5" thickBot="1" x14ac:dyDescent="0.35">
      <c r="C4" s="24"/>
      <c r="S4" s="63"/>
    </row>
    <row r="5" spans="1:29" ht="19.5" thickBot="1" x14ac:dyDescent="0.35">
      <c r="C5" s="24" t="s">
        <v>575</v>
      </c>
      <c r="P5" s="24" t="s">
        <v>576</v>
      </c>
      <c r="Q5" s="66">
        <v>29.99</v>
      </c>
      <c r="S5" s="63"/>
    </row>
    <row r="6" spans="1:29" ht="19.5" thickBot="1" x14ac:dyDescent="0.35">
      <c r="D6" s="1" t="s">
        <v>604</v>
      </c>
      <c r="H6" s="67">
        <f>H60</f>
        <v>88770.4</v>
      </c>
      <c r="I6" s="68">
        <f t="shared" ref="I6:L6" si="0">I60</f>
        <v>177540.8</v>
      </c>
      <c r="J6" s="68">
        <f t="shared" si="0"/>
        <v>355081.6</v>
      </c>
      <c r="K6" s="68">
        <f t="shared" si="0"/>
        <v>532622.4</v>
      </c>
      <c r="L6" s="69">
        <f t="shared" si="0"/>
        <v>710163.2</v>
      </c>
      <c r="S6" s="63"/>
    </row>
    <row r="7" spans="1:29" ht="19.5" thickBot="1" x14ac:dyDescent="0.35">
      <c r="C7" s="24" t="s">
        <v>591</v>
      </c>
      <c r="D7" s="24"/>
      <c r="E7" s="24"/>
      <c r="F7" s="24"/>
      <c r="G7" s="24"/>
      <c r="H7" s="50">
        <f>SUM(H6)</f>
        <v>88770.4</v>
      </c>
      <c r="I7" s="52">
        <f>SUM(I6)</f>
        <v>177540.8</v>
      </c>
      <c r="J7" s="52">
        <f>SUM(J6)</f>
        <v>355081.6</v>
      </c>
      <c r="K7" s="52">
        <f>SUM(K6)</f>
        <v>532622.4</v>
      </c>
      <c r="L7" s="53">
        <f>SUM(L6)</f>
        <v>710163.2</v>
      </c>
      <c r="P7" s="24" t="s">
        <v>585</v>
      </c>
      <c r="Q7" s="74">
        <v>74000</v>
      </c>
      <c r="S7" s="63"/>
    </row>
    <row r="8" spans="1:29" ht="19.5" thickBot="1" x14ac:dyDescent="0.35">
      <c r="H8" s="51"/>
      <c r="I8" s="51"/>
      <c r="J8" s="51"/>
      <c r="K8" s="51"/>
      <c r="L8" s="51"/>
      <c r="S8" s="63"/>
    </row>
    <row r="9" spans="1:29" ht="19.5" thickBot="1" x14ac:dyDescent="0.35">
      <c r="H9" s="51"/>
      <c r="I9" s="51"/>
      <c r="J9" s="51"/>
      <c r="K9" s="51"/>
      <c r="L9" s="51"/>
      <c r="N9" s="63" t="s">
        <v>609</v>
      </c>
      <c r="P9" s="24" t="s">
        <v>610</v>
      </c>
      <c r="Q9" s="74">
        <v>80</v>
      </c>
      <c r="S9" s="63"/>
    </row>
    <row r="10" spans="1:29" ht="19.5" thickBot="1" x14ac:dyDescent="0.35">
      <c r="C10" s="24" t="s">
        <v>590</v>
      </c>
      <c r="S10" s="63"/>
    </row>
    <row r="11" spans="1:29" ht="19.5" thickBot="1" x14ac:dyDescent="0.35">
      <c r="C11" s="24"/>
      <c r="D11" s="44" t="s">
        <v>595</v>
      </c>
      <c r="E11" s="44"/>
      <c r="F11" s="44"/>
      <c r="G11" s="44"/>
      <c r="H11" s="54">
        <v>1000</v>
      </c>
      <c r="I11" s="54">
        <v>1000</v>
      </c>
      <c r="J11" s="54">
        <v>1000</v>
      </c>
      <c r="K11" s="54">
        <v>1000</v>
      </c>
      <c r="L11" s="54">
        <v>1000</v>
      </c>
      <c r="N11" s="63" t="s">
        <v>606</v>
      </c>
      <c r="P11" s="24" t="s">
        <v>613</v>
      </c>
      <c r="Q11" s="75">
        <v>0.25</v>
      </c>
      <c r="R11"/>
    </row>
    <row r="12" spans="1:29" ht="19.5" thickBot="1" x14ac:dyDescent="0.35">
      <c r="C12" s="24"/>
      <c r="D12" s="44" t="s">
        <v>595</v>
      </c>
      <c r="E12" s="44"/>
      <c r="F12" s="44"/>
      <c r="G12" s="44"/>
      <c r="H12" s="56"/>
      <c r="I12" s="56"/>
      <c r="J12" s="56"/>
      <c r="K12" s="56"/>
      <c r="L12" s="56"/>
      <c r="S12" s="63"/>
    </row>
    <row r="13" spans="1:29" ht="19.5" thickBot="1" x14ac:dyDescent="0.35">
      <c r="D13" s="44" t="s">
        <v>595</v>
      </c>
      <c r="E13" s="44"/>
      <c r="F13" s="44"/>
      <c r="G13" s="44"/>
      <c r="H13" s="56"/>
      <c r="I13" s="56"/>
      <c r="J13" s="56"/>
      <c r="K13" s="56"/>
      <c r="L13" s="56"/>
      <c r="P13" s="24" t="s">
        <v>617</v>
      </c>
      <c r="Q13" s="74">
        <f>Q5*Q23</f>
        <v>239.92</v>
      </c>
    </row>
    <row r="14" spans="1:29" x14ac:dyDescent="0.3">
      <c r="C14" s="24" t="s">
        <v>592</v>
      </c>
      <c r="D14" s="24"/>
      <c r="E14" s="24"/>
      <c r="F14" s="24"/>
      <c r="G14" s="24"/>
      <c r="H14" s="53">
        <f>SUM(H11:H13)</f>
        <v>1000</v>
      </c>
      <c r="I14" s="53">
        <f>SUM(I11:I13)</f>
        <v>1000</v>
      </c>
      <c r="J14" s="53">
        <f>SUM(J11:J13)</f>
        <v>1000</v>
      </c>
      <c r="K14" s="53">
        <f>SUM(K11:K13)</f>
        <v>1000</v>
      </c>
      <c r="L14" s="53">
        <f>SUM(L11:L13)</f>
        <v>1000</v>
      </c>
    </row>
    <row r="16" spans="1:29" x14ac:dyDescent="0.3">
      <c r="C16" s="24" t="s">
        <v>593</v>
      </c>
      <c r="P16" s="60" t="s">
        <v>621</v>
      </c>
      <c r="Q16" s="60"/>
    </row>
    <row r="17" spans="3:19" ht="19.5" thickBot="1" x14ac:dyDescent="0.35"/>
    <row r="18" spans="3:19" ht="19.5" thickBot="1" x14ac:dyDescent="0.35">
      <c r="D18" s="24" t="s">
        <v>611</v>
      </c>
      <c r="H18" s="50">
        <f>$Q$9*H58</f>
        <v>29600</v>
      </c>
      <c r="I18" s="52">
        <f>$Q$9*I58</f>
        <v>59200</v>
      </c>
      <c r="J18" s="52">
        <f>$Q$9*J58</f>
        <v>118400</v>
      </c>
      <c r="K18" s="52">
        <f>$Q$9*K58</f>
        <v>177600</v>
      </c>
      <c r="L18" s="53">
        <f>$Q$9*L58</f>
        <v>236800</v>
      </c>
      <c r="P18" s="24" t="s">
        <v>598</v>
      </c>
      <c r="Q18" s="66" t="s">
        <v>581</v>
      </c>
    </row>
    <row r="20" spans="3:19" x14ac:dyDescent="0.3">
      <c r="D20" s="24" t="s">
        <v>605</v>
      </c>
    </row>
    <row r="21" spans="3:19" x14ac:dyDescent="0.3">
      <c r="E21" s="28" t="s">
        <v>586</v>
      </c>
      <c r="H21" s="54">
        <v>100</v>
      </c>
      <c r="I21" s="54">
        <v>100</v>
      </c>
      <c r="J21" s="54">
        <v>100</v>
      </c>
      <c r="K21" s="54">
        <v>100</v>
      </c>
      <c r="L21" s="54">
        <v>100</v>
      </c>
      <c r="N21" s="63" t="s">
        <v>606</v>
      </c>
      <c r="P21" s="60" t="s">
        <v>619</v>
      </c>
      <c r="Q21" s="60"/>
    </row>
    <row r="22" spans="3:19" ht="19.5" thickBot="1" x14ac:dyDescent="0.35">
      <c r="E22" s="71" t="s">
        <v>615</v>
      </c>
      <c r="H22" s="55">
        <v>240</v>
      </c>
      <c r="I22" s="55">
        <v>240</v>
      </c>
      <c r="J22" s="55">
        <v>240</v>
      </c>
      <c r="K22" s="55">
        <v>240</v>
      </c>
      <c r="L22" s="55">
        <v>240</v>
      </c>
      <c r="N22" s="63" t="s">
        <v>606</v>
      </c>
    </row>
    <row r="23" spans="3:19" ht="19.5" thickBot="1" x14ac:dyDescent="0.35">
      <c r="E23" s="71" t="s">
        <v>616</v>
      </c>
      <c r="H23" s="55">
        <v>300</v>
      </c>
      <c r="I23" s="55">
        <v>300</v>
      </c>
      <c r="J23" s="55">
        <v>300</v>
      </c>
      <c r="K23" s="55">
        <v>300</v>
      </c>
      <c r="L23" s="55">
        <v>300</v>
      </c>
      <c r="N23" s="63" t="s">
        <v>606</v>
      </c>
      <c r="P23" s="24" t="s">
        <v>577</v>
      </c>
      <c r="Q23" s="66">
        <v>8</v>
      </c>
      <c r="S23" s="63" t="s">
        <v>620</v>
      </c>
    </row>
    <row r="24" spans="3:19" ht="19.5" thickBot="1" x14ac:dyDescent="0.35">
      <c r="E24" s="28" t="s">
        <v>588</v>
      </c>
      <c r="H24" s="55">
        <f>$Q$25*H6</f>
        <v>3106.9639999999999</v>
      </c>
      <c r="I24" s="55">
        <f>$Q$25*I6</f>
        <v>6213.9279999999999</v>
      </c>
      <c r="J24" s="55">
        <f>$Q$25*J6</f>
        <v>12427.856</v>
      </c>
      <c r="K24" s="55">
        <f>$Q$25*K6</f>
        <v>18641.784000000003</v>
      </c>
      <c r="L24" s="55">
        <f>$Q$25*L6</f>
        <v>24855.712</v>
      </c>
      <c r="N24" s="63" t="s">
        <v>606</v>
      </c>
    </row>
    <row r="25" spans="3:19" ht="19.5" thickBot="1" x14ac:dyDescent="0.35">
      <c r="E25" s="28" t="s">
        <v>589</v>
      </c>
      <c r="H25" s="55">
        <v>100</v>
      </c>
      <c r="I25" s="55">
        <v>100</v>
      </c>
      <c r="J25" s="55">
        <v>100</v>
      </c>
      <c r="K25" s="55">
        <v>100</v>
      </c>
      <c r="L25" s="55">
        <v>100</v>
      </c>
      <c r="N25" s="63" t="s">
        <v>606</v>
      </c>
      <c r="P25" s="24" t="s">
        <v>614</v>
      </c>
      <c r="Q25" s="66">
        <v>3.5000000000000003E-2</v>
      </c>
    </row>
    <row r="26" spans="3:19" x14ac:dyDescent="0.3">
      <c r="E26" s="28" t="s">
        <v>587</v>
      </c>
      <c r="H26" s="55">
        <v>100</v>
      </c>
      <c r="I26" s="55">
        <v>100</v>
      </c>
      <c r="J26" s="55">
        <v>100</v>
      </c>
      <c r="K26" s="55">
        <v>100</v>
      </c>
      <c r="L26" s="55">
        <v>100</v>
      </c>
      <c r="N26" s="63" t="s">
        <v>606</v>
      </c>
      <c r="S26" s="1"/>
    </row>
    <row r="27" spans="3:19" x14ac:dyDescent="0.3">
      <c r="E27" s="44" t="s">
        <v>595</v>
      </c>
      <c r="F27" s="44"/>
      <c r="G27" s="44"/>
      <c r="H27" s="56"/>
      <c r="I27" s="56"/>
      <c r="J27" s="56"/>
      <c r="K27" s="56"/>
      <c r="L27" s="56"/>
    </row>
    <row r="28" spans="3:19" x14ac:dyDescent="0.3">
      <c r="E28" s="44" t="s">
        <v>595</v>
      </c>
      <c r="F28" s="44"/>
      <c r="G28" s="44"/>
      <c r="H28" s="56"/>
      <c r="I28" s="56"/>
      <c r="J28" s="56"/>
      <c r="K28" s="56"/>
      <c r="L28" s="56"/>
    </row>
    <row r="29" spans="3:19" x14ac:dyDescent="0.3">
      <c r="E29" s="44" t="s">
        <v>595</v>
      </c>
      <c r="F29" s="44"/>
      <c r="G29" s="44"/>
      <c r="H29" s="56"/>
      <c r="I29" s="56"/>
      <c r="J29" s="56"/>
      <c r="K29" s="56"/>
      <c r="L29" s="56"/>
    </row>
    <row r="30" spans="3:19" x14ac:dyDescent="0.3">
      <c r="E30" s="44" t="s">
        <v>595</v>
      </c>
      <c r="F30" s="44"/>
      <c r="G30" s="44"/>
      <c r="H30" s="57"/>
      <c r="I30" s="57"/>
      <c r="J30" s="57"/>
      <c r="K30" s="57"/>
      <c r="L30" s="57"/>
    </row>
    <row r="31" spans="3:19" x14ac:dyDescent="0.3">
      <c r="C31" s="24" t="s">
        <v>594</v>
      </c>
      <c r="D31" s="24"/>
      <c r="E31" s="24"/>
      <c r="F31" s="24"/>
      <c r="G31" s="24"/>
      <c r="H31" s="50">
        <f>SUM(H21:H30)+H18</f>
        <v>33546.964</v>
      </c>
      <c r="I31" s="50">
        <f t="shared" ref="I31:L31" si="1">SUM(I21:I30)+I18</f>
        <v>66253.928</v>
      </c>
      <c r="J31" s="50">
        <f t="shared" si="1"/>
        <v>131667.856</v>
      </c>
      <c r="K31" s="50">
        <f t="shared" si="1"/>
        <v>197081.78400000001</v>
      </c>
      <c r="L31" s="50">
        <f t="shared" si="1"/>
        <v>262495.712</v>
      </c>
    </row>
    <row r="33" spans="3:14" x14ac:dyDescent="0.3">
      <c r="C33" s="24" t="s">
        <v>583</v>
      </c>
      <c r="D33" s="24"/>
      <c r="E33" s="24"/>
      <c r="F33" s="24"/>
      <c r="G33" s="24"/>
      <c r="H33" s="58">
        <f>H7-H14-H31</f>
        <v>54223.435999999994</v>
      </c>
      <c r="I33" s="58">
        <f t="shared" ref="I33:L33" si="2">I7-I14-I31</f>
        <v>110286.87199999999</v>
      </c>
      <c r="J33" s="58">
        <f t="shared" si="2"/>
        <v>222413.74399999998</v>
      </c>
      <c r="K33" s="58">
        <f t="shared" si="2"/>
        <v>334540.61600000004</v>
      </c>
      <c r="L33" s="58">
        <f t="shared" si="2"/>
        <v>446667.48799999995</v>
      </c>
    </row>
    <row r="35" spans="3:14" x14ac:dyDescent="0.3">
      <c r="C35" s="24" t="s">
        <v>612</v>
      </c>
      <c r="H35" s="41">
        <f>H33*$Q$11</f>
        <v>13555.858999999999</v>
      </c>
      <c r="I35" s="42">
        <f>I33*$Q$11</f>
        <v>27571.717999999997</v>
      </c>
      <c r="J35" s="42">
        <f>J33*$Q$11</f>
        <v>55603.435999999994</v>
      </c>
      <c r="K35" s="42">
        <f>K33*$Q$11</f>
        <v>83635.15400000001</v>
      </c>
      <c r="L35" s="43">
        <f>L33*$Q$11</f>
        <v>111666.87199999999</v>
      </c>
    </row>
    <row r="37" spans="3:14" x14ac:dyDescent="0.3">
      <c r="C37" s="24" t="s">
        <v>584</v>
      </c>
      <c r="H37" s="41">
        <f>H33-H35</f>
        <v>40667.576999999997</v>
      </c>
      <c r="I37" s="42">
        <f t="shared" ref="I37:L37" si="3">I33-I35</f>
        <v>82715.153999999995</v>
      </c>
      <c r="J37" s="42">
        <f t="shared" si="3"/>
        <v>166810.30799999999</v>
      </c>
      <c r="K37" s="42">
        <f t="shared" si="3"/>
        <v>250905.46200000003</v>
      </c>
      <c r="L37" s="43">
        <f t="shared" si="3"/>
        <v>335000.61599999998</v>
      </c>
    </row>
    <row r="40" spans="3:14" x14ac:dyDescent="0.3">
      <c r="C40" s="61" t="s">
        <v>578</v>
      </c>
      <c r="D40" s="61"/>
      <c r="E40" s="61"/>
      <c r="F40" s="61"/>
      <c r="G40" s="61"/>
      <c r="H40" s="60"/>
      <c r="I40" s="60"/>
      <c r="J40" s="60"/>
      <c r="K40" s="60"/>
      <c r="L40" s="60"/>
    </row>
    <row r="41" spans="3:14" x14ac:dyDescent="0.3">
      <c r="C41" s="24" t="s">
        <v>627</v>
      </c>
      <c r="H41" s="40">
        <v>74000</v>
      </c>
      <c r="I41" s="40">
        <v>74000</v>
      </c>
      <c r="J41" s="40">
        <v>74000</v>
      </c>
      <c r="K41" s="40">
        <v>74000</v>
      </c>
      <c r="L41" s="40">
        <v>74000</v>
      </c>
    </row>
    <row r="42" spans="3:14" x14ac:dyDescent="0.3">
      <c r="C42" s="24" t="s">
        <v>601</v>
      </c>
      <c r="H42" s="28">
        <f>$Q$13</f>
        <v>239.92</v>
      </c>
      <c r="I42" s="28">
        <f>$Q$13</f>
        <v>239.92</v>
      </c>
      <c r="J42" s="28">
        <f>$Q$13</f>
        <v>239.92</v>
      </c>
      <c r="K42" s="28">
        <f>$Q$13</f>
        <v>239.92</v>
      </c>
      <c r="L42" s="28">
        <f>$Q$13</f>
        <v>239.92</v>
      </c>
    </row>
    <row r="43" spans="3:14" x14ac:dyDescent="0.3">
      <c r="C43" s="24"/>
      <c r="H43" s="28"/>
      <c r="I43" s="28"/>
      <c r="J43" s="28"/>
      <c r="K43" s="28"/>
      <c r="L43" s="28"/>
    </row>
    <row r="44" spans="3:14" x14ac:dyDescent="0.3">
      <c r="C44" s="24" t="s">
        <v>603</v>
      </c>
      <c r="H44" s="28">
        <v>140000000</v>
      </c>
      <c r="I44" s="28">
        <v>140000000</v>
      </c>
      <c r="J44" s="28">
        <v>140000000</v>
      </c>
      <c r="K44" s="28">
        <v>140000000</v>
      </c>
      <c r="L44" s="28">
        <v>140000000</v>
      </c>
    </row>
    <row r="45" spans="3:14" x14ac:dyDescent="0.3">
      <c r="C45" s="24" t="s">
        <v>602</v>
      </c>
      <c r="H45" s="28">
        <f>(H41*H42)</f>
        <v>17754080</v>
      </c>
      <c r="I45" s="28">
        <f t="shared" ref="I45:L45" si="4">(I41*I42)</f>
        <v>17754080</v>
      </c>
      <c r="J45" s="28">
        <f t="shared" si="4"/>
        <v>17754080</v>
      </c>
      <c r="K45" s="28">
        <f t="shared" si="4"/>
        <v>17754080</v>
      </c>
      <c r="L45" s="28">
        <f t="shared" si="4"/>
        <v>17754080</v>
      </c>
    </row>
    <row r="46" spans="3:14" x14ac:dyDescent="0.3">
      <c r="C46" s="24"/>
      <c r="H46" s="28"/>
      <c r="I46" s="28"/>
      <c r="J46" s="28"/>
      <c r="K46" s="28"/>
      <c r="L46" s="28"/>
    </row>
    <row r="48" spans="3:14" x14ac:dyDescent="0.3">
      <c r="C48" s="24" t="s">
        <v>596</v>
      </c>
      <c r="N48" s="65" t="s">
        <v>608</v>
      </c>
    </row>
    <row r="49" spans="3:14" x14ac:dyDescent="0.3">
      <c r="D49" s="1" t="s">
        <v>579</v>
      </c>
      <c r="H49" s="45">
        <v>1E-3</v>
      </c>
      <c r="I49" s="45">
        <v>2E-3</v>
      </c>
      <c r="J49" s="45">
        <v>3.0000000000000001E-3</v>
      </c>
      <c r="K49" s="45">
        <v>5.0000000000000001E-3</v>
      </c>
      <c r="L49" s="45">
        <v>8.5000000000000006E-3</v>
      </c>
      <c r="N49" s="63" t="s">
        <v>622</v>
      </c>
    </row>
    <row r="50" spans="3:14" x14ac:dyDescent="0.3">
      <c r="D50" s="1" t="s">
        <v>580</v>
      </c>
      <c r="H50" s="45">
        <v>2.5000000000000001E-3</v>
      </c>
      <c r="I50" s="45">
        <v>5.0000000000000001E-3</v>
      </c>
      <c r="J50" s="45">
        <v>8.9999999999999993E-3</v>
      </c>
      <c r="K50" s="45">
        <v>1.4999999999999999E-2</v>
      </c>
      <c r="L50" s="45">
        <v>0.02</v>
      </c>
      <c r="N50" s="63" t="s">
        <v>623</v>
      </c>
    </row>
    <row r="51" spans="3:14" x14ac:dyDescent="0.3">
      <c r="D51" s="1" t="s">
        <v>581</v>
      </c>
      <c r="H51" s="45">
        <v>5.0000000000000001E-3</v>
      </c>
      <c r="I51" s="45">
        <v>0.01</v>
      </c>
      <c r="J51" s="45">
        <v>0.02</v>
      </c>
      <c r="K51" s="45">
        <v>0.03</v>
      </c>
      <c r="L51" s="45">
        <v>0.04</v>
      </c>
      <c r="N51" s="63" t="s">
        <v>624</v>
      </c>
    </row>
    <row r="53" spans="3:14" x14ac:dyDescent="0.3">
      <c r="C53" s="24" t="s">
        <v>599</v>
      </c>
    </row>
    <row r="54" spans="3:14" x14ac:dyDescent="0.3">
      <c r="D54" s="1" t="str">
        <f>$D$49</f>
        <v>Slow</v>
      </c>
      <c r="H54" s="1">
        <f t="shared" ref="H54:L56" si="5">H$41*H49</f>
        <v>74</v>
      </c>
      <c r="I54" s="1">
        <f t="shared" si="5"/>
        <v>148</v>
      </c>
      <c r="J54" s="1">
        <f t="shared" si="5"/>
        <v>222</v>
      </c>
      <c r="K54" s="1">
        <f t="shared" si="5"/>
        <v>370</v>
      </c>
      <c r="L54" s="1">
        <f t="shared" si="5"/>
        <v>629</v>
      </c>
    </row>
    <row r="55" spans="3:14" x14ac:dyDescent="0.3">
      <c r="D55" s="1" t="str">
        <f>$D$50</f>
        <v>Steady</v>
      </c>
      <c r="H55" s="1">
        <f t="shared" si="5"/>
        <v>185</v>
      </c>
      <c r="I55" s="1">
        <f t="shared" si="5"/>
        <v>370</v>
      </c>
      <c r="J55" s="1">
        <f t="shared" si="5"/>
        <v>666</v>
      </c>
      <c r="K55" s="1">
        <f t="shared" si="5"/>
        <v>1110</v>
      </c>
      <c r="L55" s="1">
        <f t="shared" si="5"/>
        <v>1480</v>
      </c>
    </row>
    <row r="56" spans="3:14" x14ac:dyDescent="0.3">
      <c r="D56" s="1" t="str">
        <f>$D$51</f>
        <v>Explosive</v>
      </c>
      <c r="H56" s="1">
        <f t="shared" si="5"/>
        <v>370</v>
      </c>
      <c r="I56" s="1">
        <f t="shared" si="5"/>
        <v>740</v>
      </c>
      <c r="J56" s="1">
        <f t="shared" si="5"/>
        <v>1480</v>
      </c>
      <c r="K56" s="1">
        <f t="shared" si="5"/>
        <v>2220</v>
      </c>
      <c r="L56" s="1">
        <f t="shared" si="5"/>
        <v>2960</v>
      </c>
    </row>
    <row r="58" spans="3:14" x14ac:dyDescent="0.3">
      <c r="C58" s="24" t="s">
        <v>600</v>
      </c>
      <c r="H58" s="1">
        <f>INDEX(H54:H56, MATCH($Q$18, $D$54:$D$56, 0))</f>
        <v>370</v>
      </c>
      <c r="I58" s="1">
        <f>INDEX(I54:I56, MATCH($Q$18, $D$54:$D$56, 0))</f>
        <v>740</v>
      </c>
      <c r="J58" s="1">
        <f>INDEX(J54:J56, MATCH($Q$18, $D$54:$D$56, 0))</f>
        <v>1480</v>
      </c>
      <c r="K58" s="1">
        <f>INDEX(K54:K56, MATCH($Q$18, $D$54:$D$56, 0))</f>
        <v>2220</v>
      </c>
      <c r="L58" s="1">
        <f>INDEX(L54:L56, MATCH($Q$18, $D$54:$D$56, 0))</f>
        <v>2960</v>
      </c>
    </row>
    <row r="60" spans="3:14" x14ac:dyDescent="0.3">
      <c r="C60" s="24" t="s">
        <v>575</v>
      </c>
      <c r="H60" s="41">
        <f>H58*H42</f>
        <v>88770.4</v>
      </c>
      <c r="I60" s="42">
        <f t="shared" ref="I60:L60" si="6">I58*I42</f>
        <v>177540.8</v>
      </c>
      <c r="J60" s="42">
        <f t="shared" si="6"/>
        <v>355081.6</v>
      </c>
      <c r="K60" s="42">
        <f t="shared" si="6"/>
        <v>532622.4</v>
      </c>
      <c r="L60" s="43">
        <f t="shared" si="6"/>
        <v>710163.2</v>
      </c>
    </row>
    <row r="62" spans="3:14" x14ac:dyDescent="0.3">
      <c r="C62" s="24" t="s">
        <v>611</v>
      </c>
    </row>
    <row r="63" spans="3:14" x14ac:dyDescent="0.3">
      <c r="D63" s="70" t="s">
        <v>308</v>
      </c>
      <c r="G63" s="28">
        <v>40</v>
      </c>
    </row>
    <row r="64" spans="3:14" x14ac:dyDescent="0.3">
      <c r="D64" s="70" t="s">
        <v>625</v>
      </c>
      <c r="G64" s="28">
        <v>60</v>
      </c>
    </row>
    <row r="65" spans="3:13" x14ac:dyDescent="0.3">
      <c r="D65" s="70" t="s">
        <v>626</v>
      </c>
      <c r="G65" s="28">
        <v>80</v>
      </c>
    </row>
    <row r="66" spans="3:13" x14ac:dyDescent="0.3">
      <c r="C66" s="63"/>
      <c r="D66" s="70" t="s">
        <v>309</v>
      </c>
      <c r="E66" s="63"/>
      <c r="F66" s="63"/>
      <c r="G66" s="28">
        <v>120</v>
      </c>
      <c r="H66" s="63"/>
      <c r="I66" s="63"/>
      <c r="J66" s="63"/>
      <c r="K66" s="63"/>
      <c r="L66" s="63"/>
      <c r="M66" s="63"/>
    </row>
    <row r="67" spans="3:13" x14ac:dyDescent="0.3">
      <c r="C67" s="63"/>
      <c r="D67" s="63"/>
      <c r="E67" s="63"/>
      <c r="F67" s="63"/>
      <c r="G67" s="63"/>
      <c r="H67" s="63"/>
      <c r="I67" s="63"/>
      <c r="J67" s="63"/>
      <c r="K67" s="63"/>
      <c r="L67" s="63"/>
      <c r="M67" s="63"/>
    </row>
    <row r="68" spans="3:13" x14ac:dyDescent="0.3">
      <c r="C68" s="70"/>
    </row>
    <row r="69" spans="3:13" x14ac:dyDescent="0.3">
      <c r="C69" s="70"/>
    </row>
  </sheetData>
  <dataValidations count="2">
    <dataValidation type="list" allowBlank="1" showInputMessage="1" showErrorMessage="1" sqref="Q18" xr:uid="{AEB1E3B3-51B2-4055-A110-B0F99D598B37}">
      <formula1>$D$49:$D$51</formula1>
    </dataValidation>
    <dataValidation type="list" allowBlank="1" showInputMessage="1" showErrorMessage="1" sqref="Q9" xr:uid="{671C63BD-B998-4A2D-9680-DE0D7064DD33}">
      <formula1>$G$63:$G$66</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FB288-53AE-4662-8C44-B32FB767684B}">
  <sheetPr>
    <tabColor rgb="FFFFFFCC"/>
  </sheetPr>
  <dimension ref="A1:S39"/>
  <sheetViews>
    <sheetView workbookViewId="0">
      <selection activeCell="Q36" sqref="Q36"/>
    </sheetView>
  </sheetViews>
  <sheetFormatPr defaultRowHeight="12.75" x14ac:dyDescent="0.2"/>
  <cols>
    <col min="1" max="2" width="2.625" style="76" customWidth="1"/>
    <col min="3" max="16384" width="9" style="76"/>
  </cols>
  <sheetData>
    <row r="1" spans="1:19" s="80" customFormat="1" x14ac:dyDescent="0.2">
      <c r="A1" s="78" t="s">
        <v>628</v>
      </c>
      <c r="B1" s="78"/>
      <c r="C1" s="78"/>
      <c r="D1" s="78"/>
      <c r="E1" s="79"/>
      <c r="F1" s="79"/>
      <c r="G1" s="79"/>
      <c r="H1" s="79"/>
      <c r="I1" s="79"/>
      <c r="J1" s="79"/>
      <c r="K1" s="79"/>
      <c r="L1" s="76"/>
      <c r="M1" s="76"/>
      <c r="N1" s="76"/>
      <c r="O1" s="76"/>
      <c r="P1" s="76"/>
      <c r="Q1" s="76"/>
      <c r="R1" s="76"/>
      <c r="S1" s="76"/>
    </row>
    <row r="2" spans="1:19" x14ac:dyDescent="0.2">
      <c r="M2" s="76" t="s">
        <v>635</v>
      </c>
    </row>
    <row r="3" spans="1:19" x14ac:dyDescent="0.2">
      <c r="B3" s="83">
        <v>1</v>
      </c>
      <c r="C3" s="83" t="s">
        <v>629</v>
      </c>
      <c r="D3" s="83"/>
      <c r="E3" s="83"/>
      <c r="F3" s="83"/>
      <c r="G3" s="83"/>
      <c r="H3" s="83"/>
    </row>
    <row r="5" spans="1:19" x14ac:dyDescent="0.2">
      <c r="B5" s="83">
        <v>2</v>
      </c>
      <c r="C5" s="83" t="s">
        <v>630</v>
      </c>
      <c r="D5" s="83"/>
      <c r="E5" s="83"/>
      <c r="F5" s="84" t="s">
        <v>631</v>
      </c>
      <c r="G5" s="83"/>
      <c r="H5" s="83"/>
    </row>
    <row r="7" spans="1:19" x14ac:dyDescent="0.2">
      <c r="B7" s="83">
        <v>3</v>
      </c>
      <c r="C7" s="83" t="s">
        <v>632</v>
      </c>
      <c r="D7" s="83"/>
      <c r="E7" s="83"/>
      <c r="F7" s="83"/>
      <c r="G7" s="83"/>
      <c r="H7" s="83"/>
    </row>
    <row r="9" spans="1:19" x14ac:dyDescent="0.2">
      <c r="B9" s="83">
        <v>4</v>
      </c>
      <c r="C9" s="83" t="s">
        <v>633</v>
      </c>
      <c r="D9" s="83"/>
      <c r="E9" s="83"/>
      <c r="F9" s="83"/>
      <c r="G9" s="83"/>
      <c r="H9" s="83"/>
    </row>
    <row r="11" spans="1:19" x14ac:dyDescent="0.2">
      <c r="B11" s="83">
        <v>5</v>
      </c>
      <c r="C11" s="83" t="s">
        <v>634</v>
      </c>
      <c r="D11" s="83"/>
      <c r="E11" s="83"/>
      <c r="F11" s="83"/>
      <c r="G11" s="83"/>
      <c r="H11" s="83"/>
    </row>
    <row r="14" spans="1:19" x14ac:dyDescent="0.2">
      <c r="B14" s="81">
        <v>46107</v>
      </c>
      <c r="C14" s="82"/>
    </row>
    <row r="15" spans="1:19" x14ac:dyDescent="0.2">
      <c r="C15" s="76">
        <v>1</v>
      </c>
    </row>
    <row r="16" spans="1:19" x14ac:dyDescent="0.2">
      <c r="C16" s="76">
        <v>2</v>
      </c>
    </row>
    <row r="17" spans="2:3" x14ac:dyDescent="0.2">
      <c r="C17" s="76">
        <v>3</v>
      </c>
    </row>
    <row r="19" spans="2:3" x14ac:dyDescent="0.2">
      <c r="B19" s="81">
        <v>46108</v>
      </c>
      <c r="C19" s="82"/>
    </row>
    <row r="20" spans="2:3" x14ac:dyDescent="0.2">
      <c r="C20" s="77"/>
    </row>
    <row r="24" spans="2:3" x14ac:dyDescent="0.2">
      <c r="B24" s="81">
        <v>46109</v>
      </c>
      <c r="C24" s="82"/>
    </row>
    <row r="29" spans="2:3" x14ac:dyDescent="0.2">
      <c r="B29" s="81">
        <v>46110</v>
      </c>
      <c r="C29" s="82"/>
    </row>
    <row r="34" spans="2:3" x14ac:dyDescent="0.2">
      <c r="B34" s="81">
        <v>46111</v>
      </c>
      <c r="C34" s="82"/>
    </row>
    <row r="39" spans="2:3" x14ac:dyDescent="0.2">
      <c r="B39" s="81">
        <v>46112</v>
      </c>
      <c r="C39" s="82"/>
    </row>
  </sheetData>
  <hyperlinks>
    <hyperlink ref="F5" r:id="rId1" xr:uid="{E985CCF9-EFED-4D92-B9E1-6E88172E8DE1}"/>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5E56A-1C4E-4D7E-A507-E31E4EB4EC26}">
  <sheetPr>
    <tabColor rgb="FFFFFFCC"/>
  </sheetPr>
  <dimension ref="A1:S98"/>
  <sheetViews>
    <sheetView workbookViewId="0">
      <selection sqref="A1:XFD1"/>
    </sheetView>
  </sheetViews>
  <sheetFormatPr defaultColWidth="11.125" defaultRowHeight="12.75" x14ac:dyDescent="0.2"/>
  <cols>
    <col min="1" max="3" width="2.375" style="2" customWidth="1"/>
    <col min="4" max="4" width="19.75" style="2" bestFit="1" customWidth="1"/>
    <col min="5" max="9" width="14.625" style="2" customWidth="1"/>
    <col min="10" max="10" width="2.375" style="2" customWidth="1"/>
    <col min="11" max="11" width="128.25" style="2" bestFit="1" customWidth="1"/>
    <col min="12" max="13" width="11.125" style="2" customWidth="1"/>
    <col min="14" max="16384" width="11.125" style="2"/>
  </cols>
  <sheetData>
    <row r="1" spans="1:19" s="49" customFormat="1" ht="26.25" x14ac:dyDescent="0.4">
      <c r="A1" s="46" t="s">
        <v>562</v>
      </c>
      <c r="B1" s="46"/>
      <c r="C1" s="46"/>
      <c r="D1" s="46"/>
      <c r="E1" s="47"/>
      <c r="F1" s="47"/>
      <c r="G1" s="47"/>
      <c r="H1" s="47"/>
      <c r="I1" s="47"/>
      <c r="J1" s="47"/>
      <c r="K1" s="47"/>
      <c r="L1" s="1"/>
      <c r="M1" s="1"/>
      <c r="N1" s="1"/>
      <c r="O1" s="1"/>
      <c r="P1" s="1"/>
      <c r="Q1" s="1"/>
      <c r="R1" s="48"/>
      <c r="S1" s="48"/>
    </row>
    <row r="3" spans="1:19" x14ac:dyDescent="0.2">
      <c r="B3" s="3" t="s">
        <v>509</v>
      </c>
      <c r="C3" s="4"/>
      <c r="D3" s="4"/>
      <c r="E3" s="4"/>
      <c r="F3" s="4"/>
      <c r="G3" s="4"/>
      <c r="H3" s="4"/>
      <c r="I3" s="4"/>
    </row>
    <row r="5" spans="1:19" x14ac:dyDescent="0.2">
      <c r="F5" s="5" t="s">
        <v>510</v>
      </c>
      <c r="G5" s="5"/>
      <c r="H5" s="5" t="s">
        <v>511</v>
      </c>
      <c r="I5" s="5"/>
    </row>
    <row r="6" spans="1:19" s="6" customFormat="1" x14ac:dyDescent="0.2">
      <c r="C6" s="7" t="s">
        <v>246</v>
      </c>
      <c r="D6" s="7" t="s">
        <v>247</v>
      </c>
      <c r="E6" s="7" t="s">
        <v>512</v>
      </c>
      <c r="F6" s="7" t="s">
        <v>308</v>
      </c>
      <c r="G6" s="7" t="s">
        <v>309</v>
      </c>
      <c r="H6" s="7" t="s">
        <v>308</v>
      </c>
      <c r="I6" s="7" t="s">
        <v>309</v>
      </c>
      <c r="K6" s="7" t="s">
        <v>251</v>
      </c>
    </row>
    <row r="7" spans="1:19" x14ac:dyDescent="0.2">
      <c r="C7" s="2">
        <v>1</v>
      </c>
      <c r="D7" s="2" t="s">
        <v>252</v>
      </c>
      <c r="E7" s="2" t="s">
        <v>513</v>
      </c>
      <c r="F7" s="8">
        <v>0.4</v>
      </c>
      <c r="G7" s="8">
        <v>0.5</v>
      </c>
      <c r="H7" s="9">
        <v>2500</v>
      </c>
      <c r="I7" s="9">
        <v>5000</v>
      </c>
      <c r="K7" s="1" t="s">
        <v>255</v>
      </c>
      <c r="L7" s="1"/>
      <c r="M7" s="1"/>
      <c r="N7" s="1"/>
    </row>
    <row r="8" spans="1:19" x14ac:dyDescent="0.2">
      <c r="C8" s="2">
        <v>2</v>
      </c>
      <c r="D8" s="2" t="s">
        <v>514</v>
      </c>
      <c r="E8" s="2" t="s">
        <v>513</v>
      </c>
      <c r="F8" s="8">
        <v>0.15</v>
      </c>
      <c r="G8" s="8">
        <v>0.2</v>
      </c>
      <c r="H8" s="9">
        <v>1500</v>
      </c>
      <c r="I8" s="9">
        <v>2500</v>
      </c>
      <c r="K8" s="2" t="s">
        <v>561</v>
      </c>
      <c r="L8" s="1"/>
      <c r="M8" s="1"/>
      <c r="N8" s="1"/>
      <c r="O8" s="1"/>
    </row>
    <row r="9" spans="1:19" x14ac:dyDescent="0.2">
      <c r="C9" s="2">
        <v>3</v>
      </c>
      <c r="D9" s="2" t="s">
        <v>256</v>
      </c>
      <c r="E9" s="2" t="s">
        <v>515</v>
      </c>
      <c r="F9" s="8">
        <v>0.08</v>
      </c>
      <c r="G9" s="8">
        <v>0.12</v>
      </c>
      <c r="H9" s="9">
        <v>1500</v>
      </c>
      <c r="I9" s="9">
        <v>2000</v>
      </c>
      <c r="K9" s="1" t="s">
        <v>257</v>
      </c>
      <c r="L9" s="1"/>
      <c r="M9" s="1"/>
      <c r="N9" s="1"/>
    </row>
    <row r="10" spans="1:19" x14ac:dyDescent="0.2">
      <c r="C10" s="2">
        <v>4</v>
      </c>
      <c r="D10" s="2" t="s">
        <v>258</v>
      </c>
      <c r="E10" s="2" t="s">
        <v>515</v>
      </c>
      <c r="F10" s="8">
        <v>0.05</v>
      </c>
      <c r="G10" s="8">
        <v>0.08</v>
      </c>
      <c r="H10" s="9">
        <v>1000</v>
      </c>
      <c r="I10" s="9">
        <v>1800</v>
      </c>
      <c r="K10" s="1" t="s">
        <v>259</v>
      </c>
      <c r="L10" s="1"/>
      <c r="M10" s="1"/>
      <c r="N10" s="1"/>
    </row>
    <row r="11" spans="1:19" x14ac:dyDescent="0.2">
      <c r="C11" s="2">
        <v>5</v>
      </c>
      <c r="D11" s="2" t="s">
        <v>516</v>
      </c>
      <c r="E11" s="2" t="s">
        <v>517</v>
      </c>
      <c r="F11" s="8">
        <v>0.05</v>
      </c>
      <c r="G11" s="8">
        <v>0.08</v>
      </c>
      <c r="H11" s="9">
        <v>67</v>
      </c>
      <c r="I11" s="2" t="s">
        <v>518</v>
      </c>
      <c r="K11" s="1" t="s">
        <v>261</v>
      </c>
      <c r="L11" s="1"/>
      <c r="M11" s="1"/>
      <c r="N11" s="1"/>
    </row>
    <row r="12" spans="1:19" x14ac:dyDescent="0.2">
      <c r="C12" s="2">
        <v>6</v>
      </c>
      <c r="D12" s="2" t="s">
        <v>519</v>
      </c>
      <c r="E12" s="2" t="s">
        <v>517</v>
      </c>
      <c r="F12" s="8">
        <v>0.02</v>
      </c>
      <c r="G12" s="8">
        <v>0.05</v>
      </c>
      <c r="H12" s="10">
        <v>500</v>
      </c>
      <c r="I12" s="10">
        <v>800</v>
      </c>
      <c r="K12" s="1" t="s">
        <v>597</v>
      </c>
      <c r="L12" s="1"/>
      <c r="M12" s="1"/>
      <c r="N12" s="1"/>
    </row>
    <row r="13" spans="1:19" x14ac:dyDescent="0.2">
      <c r="C13" s="2">
        <v>7</v>
      </c>
      <c r="D13" s="2" t="s">
        <v>263</v>
      </c>
      <c r="E13" s="2" t="s">
        <v>520</v>
      </c>
      <c r="F13" s="11"/>
      <c r="G13" s="11"/>
      <c r="H13" s="12"/>
      <c r="I13" s="12"/>
      <c r="K13" s="1" t="s">
        <v>264</v>
      </c>
      <c r="L13" s="1"/>
      <c r="M13" s="1"/>
      <c r="N13" s="1"/>
    </row>
    <row r="14" spans="1:19" x14ac:dyDescent="0.2">
      <c r="C14" s="2">
        <v>8</v>
      </c>
      <c r="D14" s="2" t="s">
        <v>265</v>
      </c>
      <c r="E14" s="2" t="s">
        <v>520</v>
      </c>
      <c r="F14" s="11"/>
      <c r="G14" s="11"/>
      <c r="H14" s="12"/>
      <c r="I14" s="12"/>
      <c r="K14" s="1" t="s">
        <v>266</v>
      </c>
      <c r="L14" s="1"/>
      <c r="M14" s="1"/>
      <c r="N14" s="1"/>
    </row>
    <row r="15" spans="1:19" x14ac:dyDescent="0.2">
      <c r="C15" s="2">
        <v>9</v>
      </c>
      <c r="D15" s="2" t="s">
        <v>267</v>
      </c>
      <c r="E15" s="2" t="s">
        <v>520</v>
      </c>
      <c r="F15" s="11"/>
      <c r="G15" s="11"/>
      <c r="H15" s="12"/>
      <c r="I15" s="12"/>
      <c r="K15" s="2" t="s">
        <v>268</v>
      </c>
      <c r="L15" s="1"/>
      <c r="M15" s="1"/>
      <c r="N15" s="1"/>
      <c r="O15" s="1"/>
    </row>
    <row r="16" spans="1:19" x14ac:dyDescent="0.2">
      <c r="C16" s="2">
        <v>10</v>
      </c>
      <c r="D16" s="2" t="s">
        <v>521</v>
      </c>
      <c r="E16" s="2" t="s">
        <v>520</v>
      </c>
      <c r="F16" s="11"/>
      <c r="G16" s="11"/>
      <c r="H16" s="12"/>
      <c r="I16" s="12"/>
      <c r="K16" s="2" t="s">
        <v>522</v>
      </c>
      <c r="L16" s="1"/>
      <c r="M16" s="1"/>
      <c r="N16" s="1"/>
    </row>
    <row r="17" spans="2:14" x14ac:dyDescent="0.2">
      <c r="C17" s="2">
        <v>11</v>
      </c>
      <c r="D17" s="2" t="s">
        <v>523</v>
      </c>
      <c r="E17" s="2" t="s">
        <v>520</v>
      </c>
      <c r="F17" s="11"/>
      <c r="G17" s="11"/>
      <c r="H17" s="12"/>
      <c r="I17" s="12"/>
      <c r="K17" s="2" t="s">
        <v>524</v>
      </c>
      <c r="L17" s="1"/>
      <c r="M17" s="1"/>
      <c r="N17" s="1"/>
    </row>
    <row r="18" spans="2:14" x14ac:dyDescent="0.2">
      <c r="C18" s="2">
        <v>12</v>
      </c>
      <c r="D18" s="2" t="s">
        <v>269</v>
      </c>
      <c r="E18" s="2" t="s">
        <v>520</v>
      </c>
      <c r="F18" s="11"/>
      <c r="G18" s="11"/>
      <c r="H18" s="12"/>
      <c r="I18" s="12"/>
      <c r="K18" s="1" t="s">
        <v>270</v>
      </c>
      <c r="L18" s="1"/>
      <c r="M18" s="1"/>
      <c r="N18" s="1"/>
    </row>
    <row r="19" spans="2:14" x14ac:dyDescent="0.2">
      <c r="C19" s="2">
        <v>13</v>
      </c>
      <c r="D19" s="2" t="s">
        <v>525</v>
      </c>
      <c r="E19" s="2" t="s">
        <v>520</v>
      </c>
      <c r="F19" s="11"/>
      <c r="G19" s="11"/>
      <c r="H19" s="12"/>
      <c r="I19" s="12"/>
      <c r="K19" s="2" t="s">
        <v>526</v>
      </c>
    </row>
    <row r="20" spans="2:14" x14ac:dyDescent="0.2">
      <c r="C20" s="2">
        <v>14</v>
      </c>
      <c r="D20" s="2" t="s">
        <v>527</v>
      </c>
      <c r="E20" s="2" t="s">
        <v>520</v>
      </c>
      <c r="F20" s="11"/>
      <c r="G20" s="11"/>
      <c r="H20" s="12"/>
      <c r="I20" s="12"/>
      <c r="K20" s="1" t="s">
        <v>273</v>
      </c>
    </row>
    <row r="21" spans="2:14" x14ac:dyDescent="0.2">
      <c r="C21" s="2">
        <v>15</v>
      </c>
      <c r="D21" s="29" t="s">
        <v>271</v>
      </c>
      <c r="E21" s="2" t="s">
        <v>520</v>
      </c>
      <c r="F21" s="11"/>
      <c r="G21" s="11"/>
      <c r="H21" s="12"/>
      <c r="I21" s="12"/>
      <c r="K21" s="30" t="s">
        <v>272</v>
      </c>
    </row>
    <row r="22" spans="2:14" x14ac:dyDescent="0.2">
      <c r="C22" s="2">
        <v>16</v>
      </c>
      <c r="D22" s="2" t="s">
        <v>528</v>
      </c>
      <c r="F22" s="8">
        <v>0.03</v>
      </c>
      <c r="G22" s="8">
        <v>0.05</v>
      </c>
      <c r="H22" s="9">
        <v>30</v>
      </c>
      <c r="I22" s="2" t="s">
        <v>518</v>
      </c>
    </row>
    <row r="23" spans="2:14" x14ac:dyDescent="0.2">
      <c r="C23" s="13"/>
      <c r="D23" s="13"/>
      <c r="E23" s="13"/>
      <c r="F23" s="14">
        <f>SUM(F7:F22)</f>
        <v>0.78000000000000014</v>
      </c>
      <c r="G23" s="14">
        <f>SUM(G7:G22)</f>
        <v>1.0799999999999998</v>
      </c>
      <c r="H23" s="13"/>
      <c r="I23" s="13"/>
    </row>
    <row r="26" spans="2:14" x14ac:dyDescent="0.2">
      <c r="B26" s="3" t="s">
        <v>529</v>
      </c>
      <c r="C26" s="4"/>
      <c r="D26" s="4"/>
      <c r="E26" s="4"/>
      <c r="F26" s="4"/>
      <c r="G26" s="4"/>
      <c r="H26" s="4"/>
      <c r="I26" s="4"/>
    </row>
    <row r="28" spans="2:14" x14ac:dyDescent="0.2">
      <c r="C28" s="7" t="s">
        <v>246</v>
      </c>
      <c r="D28" s="7" t="s">
        <v>276</v>
      </c>
      <c r="E28" s="7" t="s">
        <v>530</v>
      </c>
      <c r="F28" s="7" t="s">
        <v>531</v>
      </c>
      <c r="G28" s="7" t="s">
        <v>532</v>
      </c>
      <c r="H28" s="7" t="s">
        <v>280</v>
      </c>
      <c r="I28" s="7"/>
    </row>
    <row r="29" spans="2:14" x14ac:dyDescent="0.2">
      <c r="C29" s="2">
        <v>1</v>
      </c>
      <c r="D29" s="2">
        <v>2021</v>
      </c>
      <c r="E29" s="15">
        <v>72271</v>
      </c>
      <c r="F29" s="15">
        <v>0</v>
      </c>
      <c r="G29" s="15"/>
      <c r="H29" s="2" t="s">
        <v>281</v>
      </c>
    </row>
    <row r="30" spans="2:14" x14ac:dyDescent="0.2">
      <c r="C30" s="2">
        <v>2</v>
      </c>
      <c r="D30" s="2">
        <v>2022</v>
      </c>
      <c r="E30" s="15">
        <v>67336</v>
      </c>
      <c r="F30" s="15">
        <v>0</v>
      </c>
      <c r="G30" s="15"/>
      <c r="H30" s="2" t="s">
        <v>281</v>
      </c>
    </row>
    <row r="31" spans="2:14" x14ac:dyDescent="0.2">
      <c r="C31" s="2">
        <v>3</v>
      </c>
      <c r="D31" s="2">
        <v>2023</v>
      </c>
      <c r="E31" s="15">
        <v>80000</v>
      </c>
      <c r="F31" s="15">
        <v>42626</v>
      </c>
      <c r="G31" s="15"/>
      <c r="H31" s="2" t="s">
        <v>533</v>
      </c>
    </row>
    <row r="32" spans="2:14" x14ac:dyDescent="0.2">
      <c r="C32" s="2">
        <v>4</v>
      </c>
      <c r="D32" s="2">
        <v>2024</v>
      </c>
      <c r="E32" s="15">
        <v>74165</v>
      </c>
      <c r="F32" s="15">
        <v>27994</v>
      </c>
      <c r="G32" s="15">
        <v>13070</v>
      </c>
      <c r="H32" s="2" t="s">
        <v>534</v>
      </c>
    </row>
    <row r="33" spans="2:9" x14ac:dyDescent="0.2">
      <c r="C33" s="2">
        <v>5</v>
      </c>
      <c r="D33" s="2">
        <v>2025</v>
      </c>
      <c r="E33" s="16"/>
      <c r="F33" s="16"/>
      <c r="G33" s="16"/>
      <c r="H33" s="16"/>
      <c r="I33" s="16"/>
    </row>
    <row r="36" spans="2:9" x14ac:dyDescent="0.2">
      <c r="B36" s="17" t="s">
        <v>535</v>
      </c>
      <c r="C36" s="17"/>
      <c r="D36" s="17"/>
      <c r="E36" s="17"/>
      <c r="F36" s="17"/>
      <c r="G36" s="17"/>
      <c r="H36" s="17"/>
      <c r="I36" s="17"/>
    </row>
    <row r="38" spans="2:9" x14ac:dyDescent="0.2">
      <c r="C38" s="7" t="s">
        <v>246</v>
      </c>
      <c r="D38" s="7" t="s">
        <v>289</v>
      </c>
      <c r="E38" s="7" t="s">
        <v>308</v>
      </c>
      <c r="F38" s="7" t="s">
        <v>309</v>
      </c>
      <c r="G38" s="7"/>
      <c r="H38" s="7"/>
      <c r="I38" s="7"/>
    </row>
    <row r="39" spans="2:9" x14ac:dyDescent="0.2">
      <c r="C39" s="2">
        <v>1</v>
      </c>
      <c r="D39" s="2" t="s">
        <v>292</v>
      </c>
      <c r="E39" s="8">
        <v>0.4</v>
      </c>
      <c r="F39" s="8">
        <v>0.43</v>
      </c>
    </row>
    <row r="40" spans="2:9" x14ac:dyDescent="0.2">
      <c r="C40" s="2">
        <v>2</v>
      </c>
      <c r="D40" s="2" t="s">
        <v>294</v>
      </c>
      <c r="E40" s="8">
        <v>0.46</v>
      </c>
      <c r="F40" s="8">
        <v>0.48</v>
      </c>
      <c r="H40" s="6" t="s">
        <v>536</v>
      </c>
    </row>
    <row r="41" spans="2:9" x14ac:dyDescent="0.2">
      <c r="C41" s="2">
        <v>3</v>
      </c>
      <c r="D41" s="2" t="s">
        <v>297</v>
      </c>
      <c r="E41" s="8">
        <v>0.57999999999999996</v>
      </c>
      <c r="F41" s="8">
        <v>0.64</v>
      </c>
      <c r="H41" s="18" t="s">
        <v>537</v>
      </c>
    </row>
    <row r="42" spans="2:9" x14ac:dyDescent="0.2">
      <c r="C42" s="2">
        <v>4</v>
      </c>
      <c r="D42" s="2" t="s">
        <v>300</v>
      </c>
      <c r="E42" s="8">
        <v>0.82</v>
      </c>
      <c r="F42" s="8">
        <v>0.82</v>
      </c>
    </row>
    <row r="43" spans="2:9" x14ac:dyDescent="0.2">
      <c r="C43" s="2">
        <v>5</v>
      </c>
      <c r="D43" s="2" t="s">
        <v>302</v>
      </c>
      <c r="E43" s="8">
        <v>0.51</v>
      </c>
      <c r="F43" s="8">
        <v>0.51</v>
      </c>
      <c r="H43" s="6" t="s">
        <v>538</v>
      </c>
    </row>
    <row r="44" spans="2:9" x14ac:dyDescent="0.2">
      <c r="C44" s="2">
        <v>6</v>
      </c>
      <c r="D44" s="2" t="s">
        <v>304</v>
      </c>
      <c r="E44" s="8">
        <v>0.41</v>
      </c>
      <c r="F44" s="8">
        <v>0.41</v>
      </c>
      <c r="H44" s="18" t="s">
        <v>539</v>
      </c>
    </row>
    <row r="47" spans="2:9" x14ac:dyDescent="0.2">
      <c r="B47" s="17" t="s">
        <v>540</v>
      </c>
      <c r="C47" s="17"/>
      <c r="D47" s="17"/>
      <c r="E47" s="17"/>
      <c r="F47" s="17"/>
      <c r="G47" s="17"/>
      <c r="H47" s="17"/>
      <c r="I47" s="17"/>
    </row>
    <row r="49" spans="2:9" x14ac:dyDescent="0.2">
      <c r="C49" s="7" t="s">
        <v>246</v>
      </c>
      <c r="D49" s="7" t="s">
        <v>307</v>
      </c>
      <c r="E49" s="7" t="s">
        <v>308</v>
      </c>
      <c r="F49" s="7" t="s">
        <v>309</v>
      </c>
      <c r="G49" s="13"/>
      <c r="H49" s="13"/>
      <c r="I49" s="13"/>
    </row>
    <row r="50" spans="2:9" x14ac:dyDescent="0.2">
      <c r="C50" s="2">
        <v>1</v>
      </c>
      <c r="D50" s="2" t="s">
        <v>541</v>
      </c>
      <c r="E50" s="2">
        <v>400</v>
      </c>
      <c r="F50" s="2">
        <v>600</v>
      </c>
    </row>
    <row r="51" spans="2:9" x14ac:dyDescent="0.2">
      <c r="C51" s="2">
        <v>2</v>
      </c>
      <c r="D51" s="2" t="s">
        <v>542</v>
      </c>
      <c r="E51" s="2">
        <v>6</v>
      </c>
      <c r="F51" s="2">
        <v>12</v>
      </c>
    </row>
    <row r="53" spans="2:9" x14ac:dyDescent="0.2">
      <c r="C53" s="2" t="s">
        <v>543</v>
      </c>
    </row>
    <row r="54" spans="2:9" x14ac:dyDescent="0.2">
      <c r="C54" s="2" t="s">
        <v>544</v>
      </c>
    </row>
    <row r="57" spans="2:9" x14ac:dyDescent="0.2">
      <c r="B57" s="17" t="s">
        <v>545</v>
      </c>
      <c r="C57" s="17"/>
      <c r="D57" s="17"/>
      <c r="E57" s="17"/>
      <c r="F57" s="17"/>
      <c r="G57" s="17"/>
      <c r="H57" s="17"/>
      <c r="I57" s="17"/>
    </row>
    <row r="59" spans="2:9" x14ac:dyDescent="0.2">
      <c r="C59" s="7" t="s">
        <v>246</v>
      </c>
      <c r="D59" s="7" t="s">
        <v>546</v>
      </c>
      <c r="E59" s="7" t="s">
        <v>318</v>
      </c>
      <c r="F59" s="7" t="s">
        <v>248</v>
      </c>
      <c r="G59" s="7" t="s">
        <v>249</v>
      </c>
      <c r="H59" s="7" t="s">
        <v>321</v>
      </c>
      <c r="I59" s="7" t="s">
        <v>322</v>
      </c>
    </row>
    <row r="60" spans="2:9" x14ac:dyDescent="0.2">
      <c r="C60" s="2">
        <v>1</v>
      </c>
      <c r="D60" s="2" t="s">
        <v>308</v>
      </c>
      <c r="E60" s="15">
        <v>70000</v>
      </c>
      <c r="F60" s="9">
        <v>1500</v>
      </c>
      <c r="G60" s="9">
        <v>2000</v>
      </c>
      <c r="H60" s="9">
        <f t="shared" ref="H60:I62" si="0">$E60*F60</f>
        <v>105000000</v>
      </c>
      <c r="I60" s="9">
        <f t="shared" si="0"/>
        <v>140000000</v>
      </c>
    </row>
    <row r="61" spans="2:9" x14ac:dyDescent="0.2">
      <c r="C61" s="2">
        <v>2</v>
      </c>
      <c r="D61" s="2" t="s">
        <v>547</v>
      </c>
      <c r="E61" s="15">
        <v>74000</v>
      </c>
      <c r="F61" s="9">
        <v>1500</v>
      </c>
      <c r="G61" s="9">
        <v>2000</v>
      </c>
      <c r="H61" s="9">
        <f t="shared" si="0"/>
        <v>111000000</v>
      </c>
      <c r="I61" s="9">
        <f t="shared" si="0"/>
        <v>148000000</v>
      </c>
    </row>
    <row r="62" spans="2:9" x14ac:dyDescent="0.2">
      <c r="C62" s="2">
        <v>3</v>
      </c>
      <c r="D62" s="2" t="s">
        <v>309</v>
      </c>
      <c r="E62" s="15">
        <v>80000</v>
      </c>
      <c r="F62" s="9">
        <v>1500</v>
      </c>
      <c r="G62" s="9">
        <v>2000</v>
      </c>
      <c r="H62" s="9">
        <f t="shared" si="0"/>
        <v>120000000</v>
      </c>
      <c r="I62" s="9">
        <f t="shared" si="0"/>
        <v>160000000</v>
      </c>
    </row>
    <row r="65" spans="2:9" x14ac:dyDescent="0.2">
      <c r="C65" s="6" t="s">
        <v>516</v>
      </c>
    </row>
    <row r="66" spans="2:9" x14ac:dyDescent="0.2">
      <c r="D66" s="2" t="s">
        <v>548</v>
      </c>
      <c r="E66" s="19">
        <v>67</v>
      </c>
    </row>
    <row r="67" spans="2:9" x14ac:dyDescent="0.2">
      <c r="D67" s="2" t="s">
        <v>549</v>
      </c>
      <c r="E67" s="2">
        <v>8</v>
      </c>
    </row>
    <row r="68" spans="2:9" x14ac:dyDescent="0.2">
      <c r="D68" s="2" t="s">
        <v>550</v>
      </c>
      <c r="E68" s="9">
        <f>E66*E67</f>
        <v>536</v>
      </c>
    </row>
    <row r="70" spans="2:9" x14ac:dyDescent="0.2">
      <c r="C70" s="6" t="s">
        <v>252</v>
      </c>
    </row>
    <row r="71" spans="2:9" x14ac:dyDescent="0.2">
      <c r="D71" s="2" t="s">
        <v>511</v>
      </c>
      <c r="E71" s="9">
        <v>5000</v>
      </c>
    </row>
    <row r="73" spans="2:9" x14ac:dyDescent="0.2">
      <c r="C73" s="6" t="s">
        <v>551</v>
      </c>
      <c r="E73" s="10">
        <f>AVERAGE(E68,E71)</f>
        <v>2768</v>
      </c>
    </row>
    <row r="76" spans="2:9" x14ac:dyDescent="0.2">
      <c r="B76" s="17" t="s">
        <v>552</v>
      </c>
      <c r="C76" s="17"/>
      <c r="D76" s="17"/>
      <c r="E76" s="17"/>
      <c r="F76" s="17"/>
      <c r="G76" s="17"/>
      <c r="H76" s="17"/>
      <c r="I76" s="17"/>
    </row>
    <row r="77" spans="2:9" x14ac:dyDescent="0.2">
      <c r="B77" s="6"/>
      <c r="C77" s="6"/>
      <c r="D77" s="6"/>
      <c r="E77" s="6"/>
      <c r="F77" s="6"/>
      <c r="G77" s="6"/>
      <c r="H77" s="6"/>
      <c r="I77" s="6"/>
    </row>
    <row r="78" spans="2:9" x14ac:dyDescent="0.2">
      <c r="B78" s="6"/>
      <c r="C78" s="7" t="s">
        <v>553</v>
      </c>
      <c r="D78" s="7"/>
      <c r="E78" s="7"/>
      <c r="F78" s="7"/>
      <c r="G78" s="7"/>
      <c r="H78" s="7"/>
      <c r="I78" s="7"/>
    </row>
    <row r="79" spans="2:9" ht="13.5" thickBot="1" x14ac:dyDescent="0.25">
      <c r="B79" s="6"/>
      <c r="C79" s="6"/>
      <c r="D79" s="6"/>
      <c r="E79" s="6"/>
      <c r="F79" s="6"/>
      <c r="G79" s="6"/>
      <c r="H79" s="6"/>
      <c r="I79" s="6"/>
    </row>
    <row r="80" spans="2:9" ht="13.5" thickBot="1" x14ac:dyDescent="0.25">
      <c r="B80" s="6"/>
      <c r="C80" s="6">
        <v>1</v>
      </c>
      <c r="D80" s="6" t="s">
        <v>554</v>
      </c>
      <c r="E80" s="20">
        <v>29.99</v>
      </c>
      <c r="F80" s="6"/>
      <c r="G80" s="6"/>
      <c r="H80" s="6"/>
      <c r="I80" s="6"/>
    </row>
    <row r="81" spans="2:9" x14ac:dyDescent="0.2">
      <c r="B81" s="6"/>
      <c r="C81" s="6"/>
      <c r="D81" s="6"/>
      <c r="E81" s="6"/>
      <c r="F81" s="6"/>
      <c r="G81" s="6"/>
      <c r="H81" s="6"/>
      <c r="I81" s="6"/>
    </row>
    <row r="82" spans="2:9" x14ac:dyDescent="0.2">
      <c r="B82" s="6"/>
      <c r="C82" s="6"/>
      <c r="D82" s="6"/>
      <c r="E82" s="6"/>
      <c r="F82" s="6"/>
      <c r="G82" s="6"/>
      <c r="H82" s="6"/>
      <c r="I82" s="6"/>
    </row>
    <row r="83" spans="2:9" x14ac:dyDescent="0.2">
      <c r="B83" s="6"/>
      <c r="C83" s="6"/>
      <c r="D83" s="6"/>
      <c r="E83" s="6"/>
      <c r="F83" s="6"/>
      <c r="G83" s="6"/>
      <c r="H83" s="6"/>
      <c r="I83" s="6"/>
    </row>
    <row r="84" spans="2:9" x14ac:dyDescent="0.2">
      <c r="C84" s="7" t="s">
        <v>246</v>
      </c>
      <c r="D84" s="7" t="s">
        <v>555</v>
      </c>
      <c r="E84" s="7" t="s">
        <v>556</v>
      </c>
      <c r="F84" s="7" t="s">
        <v>557</v>
      </c>
      <c r="G84" s="7" t="s">
        <v>567</v>
      </c>
      <c r="H84" s="38" t="s">
        <v>568</v>
      </c>
      <c r="I84" s="7" t="s">
        <v>569</v>
      </c>
    </row>
    <row r="85" spans="2:9" x14ac:dyDescent="0.2">
      <c r="C85" s="2">
        <v>1</v>
      </c>
      <c r="D85" s="21">
        <v>1E-3</v>
      </c>
      <c r="E85" s="22">
        <f>D85*$E$61</f>
        <v>74</v>
      </c>
      <c r="F85" s="10">
        <f>$E$80*E85</f>
        <v>2219.2599999999998</v>
      </c>
      <c r="G85" s="10">
        <f>($F85*12)/2</f>
        <v>13315.559999999998</v>
      </c>
      <c r="H85" s="10">
        <f>($F85*12)</f>
        <v>26631.119999999995</v>
      </c>
      <c r="I85" s="35" t="s">
        <v>564</v>
      </c>
    </row>
    <row r="86" spans="2:9" x14ac:dyDescent="0.2">
      <c r="C86" s="2">
        <v>2</v>
      </c>
      <c r="D86" s="21">
        <v>5.0000000000000001E-3</v>
      </c>
      <c r="E86" s="22">
        <f t="shared" ref="E86:E94" si="1">D86*$E$61</f>
        <v>370</v>
      </c>
      <c r="F86" s="10">
        <f t="shared" ref="F86:F94" si="2">$E$80*E86</f>
        <v>11096.3</v>
      </c>
      <c r="G86" s="10">
        <f t="shared" ref="G86:G94" si="3">($F86*12)/2</f>
        <v>66577.799999999988</v>
      </c>
      <c r="H86" s="10">
        <f t="shared" ref="H86:H94" si="4">($F86*12)</f>
        <v>133155.59999999998</v>
      </c>
      <c r="I86" s="34" t="s">
        <v>558</v>
      </c>
    </row>
    <row r="87" spans="2:9" x14ac:dyDescent="0.2">
      <c r="C87" s="2">
        <v>3</v>
      </c>
      <c r="D87" s="21">
        <v>0.01</v>
      </c>
      <c r="E87" s="22">
        <f t="shared" si="1"/>
        <v>740</v>
      </c>
      <c r="F87" s="10">
        <f t="shared" si="2"/>
        <v>22192.6</v>
      </c>
      <c r="G87" s="10">
        <f t="shared" si="3"/>
        <v>133155.59999999998</v>
      </c>
      <c r="H87" s="10">
        <f t="shared" si="4"/>
        <v>266311.19999999995</v>
      </c>
      <c r="I87" s="33" t="s">
        <v>559</v>
      </c>
    </row>
    <row r="88" spans="2:9" x14ac:dyDescent="0.2">
      <c r="C88" s="2">
        <v>4</v>
      </c>
      <c r="D88" s="21">
        <v>0.02</v>
      </c>
      <c r="E88" s="22">
        <f t="shared" si="1"/>
        <v>1480</v>
      </c>
      <c r="F88" s="10">
        <f t="shared" si="2"/>
        <v>44385.2</v>
      </c>
      <c r="G88" s="10">
        <f t="shared" si="3"/>
        <v>266311.19999999995</v>
      </c>
      <c r="H88" s="10">
        <f t="shared" si="4"/>
        <v>532622.39999999991</v>
      </c>
      <c r="I88" s="36" t="s">
        <v>565</v>
      </c>
    </row>
    <row r="89" spans="2:9" x14ac:dyDescent="0.2">
      <c r="C89" s="2">
        <v>5</v>
      </c>
      <c r="D89" s="21">
        <v>0.03</v>
      </c>
      <c r="E89" s="22">
        <f t="shared" si="1"/>
        <v>2220</v>
      </c>
      <c r="F89" s="10">
        <f t="shared" si="2"/>
        <v>66577.8</v>
      </c>
      <c r="G89" s="10">
        <f t="shared" si="3"/>
        <v>399466.80000000005</v>
      </c>
      <c r="H89" s="10">
        <f t="shared" si="4"/>
        <v>798933.60000000009</v>
      </c>
      <c r="I89" s="37" t="s">
        <v>566</v>
      </c>
    </row>
    <row r="90" spans="2:9" x14ac:dyDescent="0.2">
      <c r="C90" s="2">
        <v>6</v>
      </c>
      <c r="D90" s="21">
        <v>0.04</v>
      </c>
      <c r="E90" s="22">
        <f t="shared" si="1"/>
        <v>2960</v>
      </c>
      <c r="F90" s="10">
        <f t="shared" si="2"/>
        <v>88770.4</v>
      </c>
      <c r="G90" s="10">
        <f t="shared" si="3"/>
        <v>532622.39999999991</v>
      </c>
      <c r="H90" s="10">
        <f t="shared" si="4"/>
        <v>1065244.7999999998</v>
      </c>
      <c r="I90" s="23" t="s">
        <v>570</v>
      </c>
    </row>
    <row r="91" spans="2:9" x14ac:dyDescent="0.2">
      <c r="C91" s="2">
        <v>7</v>
      </c>
      <c r="D91" s="21">
        <v>0.05</v>
      </c>
      <c r="E91" s="22">
        <f t="shared" si="1"/>
        <v>3700</v>
      </c>
      <c r="F91" s="10">
        <f t="shared" si="2"/>
        <v>110963</v>
      </c>
      <c r="G91" s="10">
        <f t="shared" si="3"/>
        <v>665778</v>
      </c>
      <c r="H91" s="10">
        <f t="shared" si="4"/>
        <v>1331556</v>
      </c>
      <c r="I91" s="23" t="s">
        <v>571</v>
      </c>
    </row>
    <row r="92" spans="2:9" x14ac:dyDescent="0.2">
      <c r="C92" s="2">
        <v>8</v>
      </c>
      <c r="D92" s="21">
        <v>0.06</v>
      </c>
      <c r="E92" s="22">
        <f t="shared" si="1"/>
        <v>4440</v>
      </c>
      <c r="F92" s="10">
        <f t="shared" si="2"/>
        <v>133155.6</v>
      </c>
      <c r="G92" s="10">
        <f t="shared" si="3"/>
        <v>798933.60000000009</v>
      </c>
      <c r="H92" s="10">
        <f t="shared" si="4"/>
        <v>1597867.2000000002</v>
      </c>
      <c r="I92" s="23" t="s">
        <v>572</v>
      </c>
    </row>
    <row r="93" spans="2:9" x14ac:dyDescent="0.2">
      <c r="C93" s="2">
        <v>9</v>
      </c>
      <c r="D93" s="21">
        <v>7.0000000000000007E-2</v>
      </c>
      <c r="E93" s="22">
        <f t="shared" si="1"/>
        <v>5180.0000000000009</v>
      </c>
      <c r="F93" s="10">
        <f t="shared" si="2"/>
        <v>155348.20000000001</v>
      </c>
      <c r="G93" s="10">
        <f t="shared" si="3"/>
        <v>932089.20000000007</v>
      </c>
      <c r="H93" s="10">
        <f t="shared" si="4"/>
        <v>1864178.4000000001</v>
      </c>
      <c r="I93" s="23" t="s">
        <v>573</v>
      </c>
    </row>
    <row r="94" spans="2:9" x14ac:dyDescent="0.2">
      <c r="C94" s="2">
        <v>10</v>
      </c>
      <c r="D94" s="21">
        <v>0.08</v>
      </c>
      <c r="E94" s="22">
        <f t="shared" si="1"/>
        <v>5920</v>
      </c>
      <c r="F94" s="10">
        <f t="shared" si="2"/>
        <v>177540.8</v>
      </c>
      <c r="G94" s="10">
        <f t="shared" si="3"/>
        <v>1065244.7999999998</v>
      </c>
      <c r="H94" s="10">
        <f t="shared" si="4"/>
        <v>2130489.5999999996</v>
      </c>
      <c r="I94" s="23" t="s">
        <v>574</v>
      </c>
    </row>
    <row r="98" spans="2:9" x14ac:dyDescent="0.2">
      <c r="B98" s="17" t="s">
        <v>560</v>
      </c>
      <c r="C98" s="17"/>
      <c r="D98" s="17"/>
      <c r="E98" s="17"/>
      <c r="F98" s="17"/>
      <c r="G98" s="17"/>
      <c r="H98" s="17"/>
      <c r="I98" s="17"/>
    </row>
  </sheetData>
  <pageMargins left="0.7" right="0.7" top="0.75" bottom="0.75" header="0.3" footer="0.3"/>
  <pageSetup orientation="portrait" horizontalDpi="4294967295" verticalDpi="429496729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25677-CB0A-4B65-A1AE-0538F7F351B5}">
  <sheetPr>
    <tabColor rgb="FFFFFFCC"/>
  </sheetPr>
  <dimension ref="A1:K1"/>
  <sheetViews>
    <sheetView workbookViewId="0">
      <selection sqref="A1:XFD1"/>
    </sheetView>
  </sheetViews>
  <sheetFormatPr defaultRowHeight="15.75" x14ac:dyDescent="0.25"/>
  <sheetData>
    <row r="1" spans="1:11" s="2" customFormat="1" ht="39" x14ac:dyDescent="0.6">
      <c r="A1" s="31" t="s">
        <v>563</v>
      </c>
      <c r="B1" s="32"/>
      <c r="C1" s="32"/>
      <c r="D1" s="32"/>
      <c r="E1" s="32"/>
      <c r="F1" s="32"/>
      <c r="G1" s="32"/>
      <c r="H1" s="32"/>
      <c r="I1" s="32"/>
      <c r="J1" s="32"/>
      <c r="K1" s="32"/>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8"/>
  <sheetViews>
    <sheetView topLeftCell="A22" workbookViewId="0">
      <selection activeCell="B31" sqref="B31"/>
    </sheetView>
  </sheetViews>
  <sheetFormatPr defaultRowHeight="12.75" x14ac:dyDescent="0.2"/>
  <cols>
    <col min="1" max="1" width="12.875" style="1" customWidth="1"/>
    <col min="2" max="2" width="30.875" style="1" customWidth="1"/>
    <col min="3" max="3" width="12.875" style="1" customWidth="1"/>
    <col min="4" max="4" width="8.875" style="1" customWidth="1"/>
    <col min="5" max="5" width="55.875" style="1" customWidth="1"/>
    <col min="6" max="6" width="10.875" style="1" customWidth="1"/>
    <col min="7" max="7" width="40.875" style="1" customWidth="1"/>
    <col min="8" max="8" width="16.875" style="1" customWidth="1"/>
    <col min="9" max="9" width="90.875" style="1" customWidth="1"/>
    <col min="10" max="10" width="10.875" style="1" customWidth="1"/>
    <col min="11" max="11" width="50.875" style="1" customWidth="1"/>
    <col min="12" max="12" width="45.875" style="1" customWidth="1"/>
    <col min="13" max="16384" width="9" style="1"/>
  </cols>
  <sheetData>
    <row r="1" spans="1:6" x14ac:dyDescent="0.2">
      <c r="A1" s="1" t="s">
        <v>274</v>
      </c>
    </row>
    <row r="3" spans="1:6" x14ac:dyDescent="0.2">
      <c r="A3" s="1" t="s">
        <v>275</v>
      </c>
    </row>
    <row r="5" spans="1:6" x14ac:dyDescent="0.2">
      <c r="A5" s="1" t="s">
        <v>246</v>
      </c>
      <c r="B5" s="1" t="s">
        <v>276</v>
      </c>
      <c r="C5" s="1" t="s">
        <v>277</v>
      </c>
      <c r="D5" s="1" t="s">
        <v>278</v>
      </c>
      <c r="E5" s="1" t="s">
        <v>279</v>
      </c>
      <c r="F5" s="1" t="s">
        <v>280</v>
      </c>
    </row>
    <row r="6" spans="1:6" x14ac:dyDescent="0.2">
      <c r="A6" s="1">
        <v>1</v>
      </c>
      <c r="B6" s="1">
        <v>2021</v>
      </c>
      <c r="C6" s="1">
        <v>72271</v>
      </c>
      <c r="D6" s="1" t="s">
        <v>92</v>
      </c>
      <c r="E6" s="1" t="s">
        <v>92</v>
      </c>
      <c r="F6" s="1" t="s">
        <v>281</v>
      </c>
    </row>
    <row r="7" spans="1:6" x14ac:dyDescent="0.2">
      <c r="A7" s="1">
        <v>2</v>
      </c>
      <c r="B7" s="1">
        <v>2022</v>
      </c>
      <c r="C7" s="1">
        <v>67336</v>
      </c>
      <c r="D7" s="1" t="s">
        <v>92</v>
      </c>
      <c r="E7" s="1" t="s">
        <v>92</v>
      </c>
      <c r="F7" s="1" t="s">
        <v>281</v>
      </c>
    </row>
    <row r="8" spans="1:6" x14ac:dyDescent="0.2">
      <c r="A8" s="1">
        <v>3</v>
      </c>
      <c r="B8" s="1">
        <v>2023</v>
      </c>
      <c r="C8" s="1">
        <v>80000</v>
      </c>
      <c r="D8" s="1">
        <v>42626</v>
      </c>
      <c r="E8" s="1" t="s">
        <v>92</v>
      </c>
      <c r="F8" s="1" t="s">
        <v>282</v>
      </c>
    </row>
    <row r="9" spans="1:6" x14ac:dyDescent="0.2">
      <c r="A9" s="1">
        <v>4</v>
      </c>
      <c r="B9" s="1">
        <v>2024</v>
      </c>
      <c r="C9" s="1">
        <v>74165</v>
      </c>
      <c r="D9" s="1">
        <v>27994</v>
      </c>
      <c r="E9" s="1">
        <v>13070</v>
      </c>
      <c r="F9" s="1" t="s">
        <v>283</v>
      </c>
    </row>
    <row r="11" spans="1:6" x14ac:dyDescent="0.2">
      <c r="A11" s="1" t="s">
        <v>284</v>
      </c>
    </row>
    <row r="12" spans="1:6" x14ac:dyDescent="0.2">
      <c r="A12" s="1" t="s">
        <v>285</v>
      </c>
    </row>
    <row r="13" spans="1:6" x14ac:dyDescent="0.2">
      <c r="A13" s="1" t="s">
        <v>286</v>
      </c>
    </row>
    <row r="14" spans="1:6" x14ac:dyDescent="0.2">
      <c r="A14" s="1" t="s">
        <v>287</v>
      </c>
    </row>
    <row r="17" spans="1:4" x14ac:dyDescent="0.2">
      <c r="A17" s="1" t="s">
        <v>288</v>
      </c>
    </row>
    <row r="19" spans="1:4" x14ac:dyDescent="0.2">
      <c r="A19" s="1" t="s">
        <v>246</v>
      </c>
      <c r="B19" s="1" t="s">
        <v>289</v>
      </c>
      <c r="C19" s="1" t="s">
        <v>290</v>
      </c>
      <c r="D19" s="1" t="s">
        <v>291</v>
      </c>
    </row>
    <row r="20" spans="1:4" x14ac:dyDescent="0.2">
      <c r="A20" s="1">
        <v>1</v>
      </c>
      <c r="B20" s="1" t="s">
        <v>292</v>
      </c>
      <c r="C20" s="1" t="s">
        <v>253</v>
      </c>
      <c r="D20" s="1" t="s">
        <v>293</v>
      </c>
    </row>
    <row r="21" spans="1:4" x14ac:dyDescent="0.2">
      <c r="A21" s="1">
        <v>2</v>
      </c>
      <c r="B21" s="1" t="s">
        <v>294</v>
      </c>
      <c r="C21" s="1" t="s">
        <v>295</v>
      </c>
      <c r="D21" s="1" t="s">
        <v>296</v>
      </c>
    </row>
    <row r="22" spans="1:4" x14ac:dyDescent="0.2">
      <c r="A22" s="1">
        <v>3</v>
      </c>
      <c r="B22" s="1" t="s">
        <v>297</v>
      </c>
      <c r="C22" s="1" t="s">
        <v>298</v>
      </c>
      <c r="D22" s="1" t="s">
        <v>299</v>
      </c>
    </row>
    <row r="23" spans="1:4" x14ac:dyDescent="0.2">
      <c r="A23" s="1">
        <v>4</v>
      </c>
      <c r="B23" s="1" t="s">
        <v>300</v>
      </c>
      <c r="C23" s="1" t="s">
        <v>301</v>
      </c>
      <c r="D23" s="1" t="s">
        <v>301</v>
      </c>
    </row>
    <row r="24" spans="1:4" x14ac:dyDescent="0.2">
      <c r="A24" s="1">
        <v>5</v>
      </c>
      <c r="B24" s="1" t="s">
        <v>302</v>
      </c>
      <c r="C24" s="1" t="s">
        <v>303</v>
      </c>
      <c r="D24" s="1" t="s">
        <v>303</v>
      </c>
    </row>
    <row r="25" spans="1:4" x14ac:dyDescent="0.2">
      <c r="A25" s="1">
        <v>6</v>
      </c>
      <c r="B25" s="1" t="s">
        <v>304</v>
      </c>
      <c r="C25" s="1" t="s">
        <v>305</v>
      </c>
      <c r="D25" s="1" t="s">
        <v>305</v>
      </c>
    </row>
    <row r="28" spans="1:4" x14ac:dyDescent="0.2">
      <c r="A28" s="1" t="s">
        <v>306</v>
      </c>
    </row>
    <row r="30" spans="1:4" x14ac:dyDescent="0.2">
      <c r="A30" s="1" t="s">
        <v>307</v>
      </c>
      <c r="B30" s="1" t="s">
        <v>308</v>
      </c>
      <c r="C30" s="1" t="s">
        <v>309</v>
      </c>
    </row>
    <row r="31" spans="1:4" x14ac:dyDescent="0.2">
      <c r="A31" s="1" t="s">
        <v>310</v>
      </c>
      <c r="B31" s="1">
        <v>400</v>
      </c>
      <c r="C31" s="1">
        <v>600</v>
      </c>
    </row>
    <row r="32" spans="1:4" x14ac:dyDescent="0.2">
      <c r="A32" s="1" t="s">
        <v>311</v>
      </c>
      <c r="B32" s="1">
        <v>6</v>
      </c>
      <c r="C32" s="1">
        <v>12</v>
      </c>
    </row>
    <row r="33" spans="1:6" x14ac:dyDescent="0.2">
      <c r="A33" s="1" t="s">
        <v>312</v>
      </c>
      <c r="B33" s="1" t="s">
        <v>313</v>
      </c>
      <c r="C33" s="1" t="s">
        <v>92</v>
      </c>
    </row>
    <row r="34" spans="1:6" x14ac:dyDescent="0.2">
      <c r="A34" s="1" t="s">
        <v>314</v>
      </c>
      <c r="B34" s="1" t="s">
        <v>315</v>
      </c>
      <c r="C34" s="1" t="s">
        <v>92</v>
      </c>
    </row>
    <row r="37" spans="1:6" x14ac:dyDescent="0.2">
      <c r="A37" s="1" t="s">
        <v>316</v>
      </c>
    </row>
    <row r="39" spans="1:6" x14ac:dyDescent="0.2">
      <c r="A39" s="1" t="s">
        <v>317</v>
      </c>
      <c r="B39" s="1" t="s">
        <v>318</v>
      </c>
      <c r="C39" s="1" t="s">
        <v>319</v>
      </c>
      <c r="D39" s="1" t="s">
        <v>320</v>
      </c>
      <c r="E39" s="1" t="s">
        <v>321</v>
      </c>
      <c r="F39" s="1" t="s">
        <v>322</v>
      </c>
    </row>
    <row r="40" spans="1:6" x14ac:dyDescent="0.2">
      <c r="A40" s="1" t="s">
        <v>308</v>
      </c>
      <c r="B40" s="1">
        <v>70000</v>
      </c>
      <c r="C40" s="1" t="s">
        <v>323</v>
      </c>
      <c r="D40" s="1" t="s">
        <v>324</v>
      </c>
      <c r="E40" s="1" t="s">
        <v>325</v>
      </c>
      <c r="F40" s="1" t="s">
        <v>326</v>
      </c>
    </row>
    <row r="41" spans="1:6" x14ac:dyDescent="0.2">
      <c r="A41" s="1" t="s">
        <v>327</v>
      </c>
      <c r="B41" s="1">
        <v>74000</v>
      </c>
      <c r="C41" s="1" t="s">
        <v>323</v>
      </c>
      <c r="D41" s="1" t="s">
        <v>324</v>
      </c>
      <c r="E41" s="1" t="s">
        <v>328</v>
      </c>
      <c r="F41" s="1" t="s">
        <v>329</v>
      </c>
    </row>
    <row r="42" spans="1:6" x14ac:dyDescent="0.2">
      <c r="A42" s="1" t="s">
        <v>309</v>
      </c>
      <c r="B42" s="1">
        <v>80000</v>
      </c>
      <c r="C42" s="1" t="s">
        <v>323</v>
      </c>
      <c r="D42" s="1" t="s">
        <v>324</v>
      </c>
      <c r="E42" s="1" t="s">
        <v>330</v>
      </c>
      <c r="F42" s="1" t="s">
        <v>331</v>
      </c>
    </row>
    <row r="44" spans="1:6" x14ac:dyDescent="0.2">
      <c r="A44" s="1" t="s">
        <v>332</v>
      </c>
    </row>
    <row r="45" spans="1:6" x14ac:dyDescent="0.2">
      <c r="A45" s="1" t="s">
        <v>333</v>
      </c>
      <c r="B45" s="1" t="s">
        <v>334</v>
      </c>
    </row>
    <row r="46" spans="1:6" x14ac:dyDescent="0.2">
      <c r="A46" s="1" t="s">
        <v>335</v>
      </c>
      <c r="B46" s="1" t="s">
        <v>336</v>
      </c>
    </row>
    <row r="47" spans="1:6" x14ac:dyDescent="0.2">
      <c r="A47" s="1" t="s">
        <v>337</v>
      </c>
      <c r="B47" s="1" t="s">
        <v>254</v>
      </c>
    </row>
    <row r="48" spans="1:6" x14ac:dyDescent="0.2">
      <c r="A48" s="1" t="s">
        <v>338</v>
      </c>
      <c r="B48" s="1" t="s">
        <v>339</v>
      </c>
    </row>
  </sheetData>
  <pageMargins left="0.7" right="0.7" top="0.75" bottom="0.75" header="0.3" footer="0.3"/>
  <ignoredErrors>
    <ignoredError sqref="A1:F48"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51"/>
  <sheetViews>
    <sheetView tabSelected="1" workbookViewId="0">
      <selection activeCell="D7" sqref="D7"/>
    </sheetView>
  </sheetViews>
  <sheetFormatPr defaultRowHeight="12.75" x14ac:dyDescent="0.2"/>
  <cols>
    <col min="1" max="1" width="35.375" style="1" customWidth="1"/>
    <col min="2" max="2" width="26.25" style="1" bestFit="1" customWidth="1"/>
    <col min="3" max="3" width="34.25" style="1" bestFit="1" customWidth="1"/>
    <col min="4" max="4" width="38.75" style="1" bestFit="1" customWidth="1"/>
    <col min="5" max="5" width="54.625" style="1" bestFit="1" customWidth="1"/>
    <col min="6" max="6" width="14.375" style="1" bestFit="1" customWidth="1"/>
    <col min="7" max="7" width="40.875" style="1" customWidth="1"/>
    <col min="8" max="8" width="16.875" style="1" customWidth="1"/>
    <col min="9" max="9" width="90.875" style="1" customWidth="1"/>
    <col min="10" max="10" width="10.875" style="1" customWidth="1"/>
    <col min="11" max="11" width="50.875" style="1" customWidth="1"/>
    <col min="12" max="12" width="45.875" style="1" customWidth="1"/>
    <col min="13" max="16384" width="9" style="1"/>
  </cols>
  <sheetData>
    <row r="1" spans="1:11" ht="39" x14ac:dyDescent="0.6">
      <c r="A1" s="31" t="s">
        <v>340</v>
      </c>
      <c r="B1" s="32"/>
      <c r="C1" s="32"/>
      <c r="D1" s="32"/>
      <c r="E1" s="32"/>
      <c r="F1" s="32"/>
      <c r="G1" s="32"/>
      <c r="H1" s="32"/>
      <c r="I1" s="32"/>
      <c r="J1" s="32"/>
      <c r="K1" s="32"/>
    </row>
    <row r="3" spans="1:11" x14ac:dyDescent="0.2">
      <c r="A3" s="24" t="s">
        <v>341</v>
      </c>
    </row>
    <row r="5" spans="1:11" x14ac:dyDescent="0.2">
      <c r="A5" s="26" t="s">
        <v>342</v>
      </c>
      <c r="B5" s="26" t="s">
        <v>343</v>
      </c>
      <c r="C5" s="26" t="s">
        <v>344</v>
      </c>
      <c r="D5" s="26" t="s">
        <v>345</v>
      </c>
      <c r="E5" s="26" t="s">
        <v>251</v>
      </c>
      <c r="F5" s="26"/>
    </row>
    <row r="6" spans="1:11" x14ac:dyDescent="0.2">
      <c r="A6" s="1" t="s">
        <v>346</v>
      </c>
      <c r="B6" s="1" t="s">
        <v>347</v>
      </c>
      <c r="C6" s="1" t="s">
        <v>347</v>
      </c>
      <c r="D6" s="1" t="s">
        <v>348</v>
      </c>
      <c r="E6" s="1" t="s">
        <v>349</v>
      </c>
    </row>
    <row r="7" spans="1:11" x14ac:dyDescent="0.2">
      <c r="A7" s="1" t="s">
        <v>350</v>
      </c>
      <c r="B7" s="1" t="s">
        <v>351</v>
      </c>
      <c r="C7" s="1" t="s">
        <v>352</v>
      </c>
      <c r="D7" s="1" t="s">
        <v>353</v>
      </c>
      <c r="E7" s="1" t="s">
        <v>354</v>
      </c>
    </row>
    <row r="8" spans="1:11" x14ac:dyDescent="0.2">
      <c r="A8" s="1" t="s">
        <v>355</v>
      </c>
      <c r="B8" s="1" t="s">
        <v>356</v>
      </c>
      <c r="C8" s="1" t="s">
        <v>357</v>
      </c>
      <c r="D8" s="1" t="s">
        <v>358</v>
      </c>
      <c r="E8" s="1" t="s">
        <v>359</v>
      </c>
    </row>
    <row r="9" spans="1:11" x14ac:dyDescent="0.2">
      <c r="A9" s="1" t="s">
        <v>360</v>
      </c>
      <c r="B9" s="1" t="s">
        <v>361</v>
      </c>
      <c r="C9" s="1" t="s">
        <v>362</v>
      </c>
      <c r="D9" s="1" t="s">
        <v>363</v>
      </c>
      <c r="E9" s="1" t="s">
        <v>364</v>
      </c>
    </row>
    <row r="10" spans="1:11" x14ac:dyDescent="0.2">
      <c r="A10" s="1" t="s">
        <v>365</v>
      </c>
      <c r="B10" s="1" t="s">
        <v>366</v>
      </c>
      <c r="C10" s="1" t="s">
        <v>367</v>
      </c>
      <c r="D10" s="1" t="s">
        <v>368</v>
      </c>
      <c r="E10" s="1" t="s">
        <v>369</v>
      </c>
    </row>
    <row r="11" spans="1:11" x14ac:dyDescent="0.2">
      <c r="A11" s="1" t="s">
        <v>370</v>
      </c>
      <c r="B11" s="1" t="s">
        <v>351</v>
      </c>
      <c r="C11" s="1" t="s">
        <v>371</v>
      </c>
      <c r="D11" s="1" t="s">
        <v>372</v>
      </c>
      <c r="E11" s="1" t="s">
        <v>373</v>
      </c>
    </row>
    <row r="14" spans="1:11" x14ac:dyDescent="0.2">
      <c r="A14" s="24" t="s">
        <v>374</v>
      </c>
    </row>
    <row r="16" spans="1:11" x14ac:dyDescent="0.2">
      <c r="A16" s="26" t="s">
        <v>375</v>
      </c>
      <c r="B16" s="26" t="s">
        <v>376</v>
      </c>
      <c r="C16" s="26" t="s">
        <v>280</v>
      </c>
      <c r="D16" s="26"/>
      <c r="E16" s="26"/>
      <c r="F16" s="26"/>
    </row>
    <row r="17" spans="1:6" x14ac:dyDescent="0.2">
      <c r="A17" s="1" t="s">
        <v>377</v>
      </c>
      <c r="B17" s="39">
        <v>0.05</v>
      </c>
      <c r="C17" s="1" t="s">
        <v>378</v>
      </c>
    </row>
    <row r="18" spans="1:6" x14ac:dyDescent="0.2">
      <c r="A18" s="1" t="s">
        <v>379</v>
      </c>
      <c r="B18" s="39">
        <v>0.1</v>
      </c>
      <c r="C18" s="1" t="s">
        <v>380</v>
      </c>
    </row>
    <row r="19" spans="1:6" x14ac:dyDescent="0.2">
      <c r="A19" s="1" t="s">
        <v>381</v>
      </c>
      <c r="B19" s="39">
        <v>2.5000000000000001E-2</v>
      </c>
      <c r="C19" s="1" t="s">
        <v>382</v>
      </c>
    </row>
    <row r="20" spans="1:6" x14ac:dyDescent="0.2">
      <c r="A20" s="1" t="s">
        <v>383</v>
      </c>
      <c r="B20" s="39">
        <v>2.5000000000000001E-2</v>
      </c>
      <c r="C20" s="1" t="s">
        <v>384</v>
      </c>
    </row>
    <row r="21" spans="1:6" x14ac:dyDescent="0.2">
      <c r="A21" s="1" t="s">
        <v>385</v>
      </c>
      <c r="B21" s="39">
        <v>0.4</v>
      </c>
      <c r="C21" s="1" t="s">
        <v>386</v>
      </c>
    </row>
    <row r="24" spans="1:6" x14ac:dyDescent="0.2">
      <c r="A24" s="24" t="s">
        <v>387</v>
      </c>
    </row>
    <row r="26" spans="1:6" x14ac:dyDescent="0.2">
      <c r="A26" s="26" t="s">
        <v>342</v>
      </c>
      <c r="B26" s="26" t="s">
        <v>388</v>
      </c>
      <c r="C26" s="26" t="s">
        <v>389</v>
      </c>
      <c r="D26" s="26" t="s">
        <v>390</v>
      </c>
      <c r="E26" s="26" t="s">
        <v>334</v>
      </c>
      <c r="F26" s="26" t="s">
        <v>391</v>
      </c>
    </row>
    <row r="27" spans="1:6" x14ac:dyDescent="0.2">
      <c r="A27" s="1" t="s">
        <v>346</v>
      </c>
      <c r="B27" s="1" t="s">
        <v>347</v>
      </c>
      <c r="C27" s="1" t="s">
        <v>392</v>
      </c>
      <c r="D27" s="28">
        <v>0</v>
      </c>
      <c r="E27" s="1" t="s">
        <v>393</v>
      </c>
      <c r="F27" s="1" t="s">
        <v>394</v>
      </c>
    </row>
    <row r="28" spans="1:6" x14ac:dyDescent="0.2">
      <c r="A28" s="1" t="s">
        <v>350</v>
      </c>
      <c r="B28" s="1" t="s">
        <v>371</v>
      </c>
      <c r="C28" s="1">
        <v>40</v>
      </c>
      <c r="D28" s="1" t="s">
        <v>395</v>
      </c>
      <c r="E28" s="1" t="s">
        <v>393</v>
      </c>
      <c r="F28" s="1" t="s">
        <v>396</v>
      </c>
    </row>
    <row r="29" spans="1:6" x14ac:dyDescent="0.2">
      <c r="A29" s="1" t="s">
        <v>397</v>
      </c>
      <c r="B29" s="1" t="s">
        <v>371</v>
      </c>
      <c r="C29" s="1">
        <v>40</v>
      </c>
      <c r="D29" s="1" t="s">
        <v>395</v>
      </c>
      <c r="E29" s="1" t="s">
        <v>393</v>
      </c>
      <c r="F29" s="1" t="s">
        <v>396</v>
      </c>
    </row>
    <row r="30" spans="1:6" x14ac:dyDescent="0.2">
      <c r="A30" s="1" t="s">
        <v>398</v>
      </c>
      <c r="B30" s="1" t="s">
        <v>362</v>
      </c>
      <c r="C30" s="1">
        <v>40</v>
      </c>
      <c r="D30" s="1" t="s">
        <v>399</v>
      </c>
      <c r="E30" s="1" t="s">
        <v>393</v>
      </c>
      <c r="F30" s="1" t="s">
        <v>400</v>
      </c>
    </row>
    <row r="31" spans="1:6" x14ac:dyDescent="0.2">
      <c r="A31" s="1" t="s">
        <v>365</v>
      </c>
      <c r="B31" s="1" t="s">
        <v>401</v>
      </c>
      <c r="C31" s="1">
        <v>40</v>
      </c>
      <c r="D31" s="1" t="s">
        <v>402</v>
      </c>
      <c r="E31" s="1" t="s">
        <v>393</v>
      </c>
      <c r="F31" s="1" t="s">
        <v>403</v>
      </c>
    </row>
    <row r="34" spans="1:6" x14ac:dyDescent="0.2">
      <c r="A34" s="27" t="s">
        <v>404</v>
      </c>
      <c r="B34" s="26"/>
      <c r="C34" s="25"/>
      <c r="D34" s="25"/>
      <c r="E34" s="25"/>
      <c r="F34" s="25"/>
    </row>
    <row r="36" spans="1:6" x14ac:dyDescent="0.2">
      <c r="A36" s="1" t="s">
        <v>405</v>
      </c>
      <c r="B36" s="1" t="s">
        <v>406</v>
      </c>
    </row>
    <row r="37" spans="1:6" x14ac:dyDescent="0.2">
      <c r="A37" s="1" t="s">
        <v>407</v>
      </c>
      <c r="B37" s="1" t="s">
        <v>408</v>
      </c>
    </row>
    <row r="38" spans="1:6" x14ac:dyDescent="0.2">
      <c r="A38" s="1" t="s">
        <v>409</v>
      </c>
      <c r="B38" s="1" t="s">
        <v>410</v>
      </c>
    </row>
    <row r="39" spans="1:6" x14ac:dyDescent="0.2">
      <c r="A39" s="1" t="s">
        <v>411</v>
      </c>
      <c r="B39" s="1" t="s">
        <v>393</v>
      </c>
    </row>
    <row r="40" spans="1:6" x14ac:dyDescent="0.2">
      <c r="A40" s="1" t="s">
        <v>412</v>
      </c>
      <c r="B40" s="1" t="s">
        <v>395</v>
      </c>
    </row>
    <row r="41" spans="1:6" x14ac:dyDescent="0.2">
      <c r="A41" s="1" t="s">
        <v>413</v>
      </c>
      <c r="B41" s="1" t="s">
        <v>414</v>
      </c>
    </row>
    <row r="44" spans="1:6" x14ac:dyDescent="0.2">
      <c r="A44" s="25" t="s">
        <v>415</v>
      </c>
      <c r="B44" s="25"/>
      <c r="C44" s="25"/>
      <c r="D44" s="25"/>
      <c r="E44" s="25"/>
      <c r="F44" s="25"/>
    </row>
    <row r="46" spans="1:6" x14ac:dyDescent="0.2">
      <c r="A46" s="1" t="s">
        <v>416</v>
      </c>
      <c r="B46" s="1" t="s">
        <v>342</v>
      </c>
      <c r="C46" s="1" t="s">
        <v>260</v>
      </c>
      <c r="D46" s="1" t="s">
        <v>417</v>
      </c>
    </row>
    <row r="47" spans="1:6" x14ac:dyDescent="0.2">
      <c r="A47" s="1" t="s">
        <v>418</v>
      </c>
      <c r="B47" s="1" t="s">
        <v>419</v>
      </c>
      <c r="C47" s="1" t="s">
        <v>347</v>
      </c>
      <c r="D47" s="1" t="s">
        <v>420</v>
      </c>
    </row>
    <row r="48" spans="1:6" x14ac:dyDescent="0.2">
      <c r="A48" s="1" t="s">
        <v>421</v>
      </c>
      <c r="B48" s="1" t="s">
        <v>422</v>
      </c>
      <c r="C48" s="1" t="s">
        <v>262</v>
      </c>
      <c r="D48" s="1" t="s">
        <v>423</v>
      </c>
    </row>
    <row r="49" spans="1:4" x14ac:dyDescent="0.2">
      <c r="A49" s="1" t="s">
        <v>424</v>
      </c>
      <c r="B49" s="1" t="s">
        <v>425</v>
      </c>
      <c r="C49" s="1" t="s">
        <v>426</v>
      </c>
      <c r="D49" s="1" t="s">
        <v>427</v>
      </c>
    </row>
    <row r="50" spans="1:4" x14ac:dyDescent="0.2">
      <c r="A50" s="1" t="s">
        <v>428</v>
      </c>
      <c r="B50" s="1" t="s">
        <v>429</v>
      </c>
      <c r="C50" s="1" t="s">
        <v>430</v>
      </c>
      <c r="D50" s="1" t="s">
        <v>431</v>
      </c>
    </row>
    <row r="51" spans="1:4" x14ac:dyDescent="0.2">
      <c r="A51" s="1" t="s">
        <v>432</v>
      </c>
      <c r="B51" s="1" t="s">
        <v>398</v>
      </c>
      <c r="C51" s="1" t="s">
        <v>392</v>
      </c>
      <c r="D51" s="1" t="s">
        <v>433</v>
      </c>
    </row>
  </sheetData>
  <pageMargins left="0.7" right="0.7" top="0.75" bottom="0.75" header="0.3" footer="0.3"/>
  <ignoredErrors>
    <ignoredError sqref="A1:F16 A28:F51 A27:C27 E27:F27 A25:F26 A23:C23 E23:F23 A24:C24 E24:F24 A22:F22 A17 C17:F17 A18 C18:F18 A19 C19:F19 A20 C20:F20 A21 C21:F21"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79998168889431442"/>
  </sheetPr>
  <dimension ref="A1:F40"/>
  <sheetViews>
    <sheetView workbookViewId="0">
      <selection activeCell="C31" sqref="C31"/>
    </sheetView>
  </sheetViews>
  <sheetFormatPr defaultRowHeight="12.75" x14ac:dyDescent="0.2"/>
  <cols>
    <col min="1" max="1" width="20.5" style="1" customWidth="1"/>
    <col min="2" max="2" width="57.25" style="1" bestFit="1" customWidth="1"/>
    <col min="3" max="3" width="8.625" style="1" bestFit="1" customWidth="1"/>
    <col min="4" max="4" width="48.75" style="1" bestFit="1" customWidth="1"/>
    <col min="5" max="5" width="7.75" style="1" bestFit="1" customWidth="1"/>
    <col min="6" max="6" width="73.75" style="1" bestFit="1" customWidth="1"/>
    <col min="7" max="7" width="40.875" style="1" customWidth="1"/>
    <col min="8" max="8" width="16.875" style="1" customWidth="1"/>
    <col min="9" max="9" width="90.875" style="1" customWidth="1"/>
    <col min="10" max="10" width="10.875" style="1" customWidth="1"/>
    <col min="11" max="11" width="50.875" style="1" customWidth="1"/>
    <col min="12" max="12" width="45.875" style="1" customWidth="1"/>
    <col min="13" max="16384" width="9" style="1"/>
  </cols>
  <sheetData>
    <row r="1" spans="1:6" x14ac:dyDescent="0.2">
      <c r="A1" s="1" t="s">
        <v>434</v>
      </c>
    </row>
    <row r="3" spans="1:6" x14ac:dyDescent="0.2">
      <c r="A3" s="26" t="s">
        <v>246</v>
      </c>
      <c r="B3" s="26" t="s">
        <v>435</v>
      </c>
      <c r="C3" s="26" t="s">
        <v>436</v>
      </c>
      <c r="D3" s="26" t="s">
        <v>4</v>
      </c>
      <c r="E3" s="26" t="s">
        <v>250</v>
      </c>
      <c r="F3" s="26" t="s">
        <v>251</v>
      </c>
    </row>
    <row r="4" spans="1:6" x14ac:dyDescent="0.2">
      <c r="A4" s="1">
        <v>1</v>
      </c>
      <c r="B4" s="1" t="s">
        <v>22</v>
      </c>
      <c r="C4" s="1" t="s">
        <v>437</v>
      </c>
      <c r="D4" s="1" t="s">
        <v>16</v>
      </c>
      <c r="E4" s="1" t="s">
        <v>438</v>
      </c>
      <c r="F4" s="1" t="s">
        <v>439</v>
      </c>
    </row>
    <row r="5" spans="1:6" x14ac:dyDescent="0.2">
      <c r="A5" s="1">
        <v>2</v>
      </c>
      <c r="B5" s="1" t="s">
        <v>48</v>
      </c>
      <c r="C5" s="1" t="s">
        <v>440</v>
      </c>
      <c r="D5" s="1" t="s">
        <v>441</v>
      </c>
      <c r="E5" s="1" t="s">
        <v>25</v>
      </c>
      <c r="F5" s="1" t="s">
        <v>442</v>
      </c>
    </row>
    <row r="6" spans="1:6" x14ac:dyDescent="0.2">
      <c r="A6" s="1">
        <v>3</v>
      </c>
      <c r="B6" s="1" t="s">
        <v>56</v>
      </c>
      <c r="C6" s="1" t="s">
        <v>443</v>
      </c>
      <c r="D6" s="1" t="s">
        <v>444</v>
      </c>
      <c r="E6" s="1" t="s">
        <v>25</v>
      </c>
      <c r="F6" s="1" t="s">
        <v>445</v>
      </c>
    </row>
    <row r="7" spans="1:6" x14ac:dyDescent="0.2">
      <c r="A7" s="1">
        <v>4</v>
      </c>
      <c r="B7" s="1" t="s">
        <v>69</v>
      </c>
      <c r="C7" s="1" t="s">
        <v>446</v>
      </c>
      <c r="D7" s="1" t="s">
        <v>447</v>
      </c>
      <c r="E7" s="1" t="s">
        <v>25</v>
      </c>
      <c r="F7" s="1" t="s">
        <v>448</v>
      </c>
    </row>
    <row r="8" spans="1:6" x14ac:dyDescent="0.2">
      <c r="A8" s="1">
        <v>5</v>
      </c>
      <c r="B8" s="1" t="s">
        <v>83</v>
      </c>
      <c r="C8" s="1" t="s">
        <v>449</v>
      </c>
      <c r="D8" s="1" t="s">
        <v>83</v>
      </c>
      <c r="E8" s="1" t="s">
        <v>450</v>
      </c>
      <c r="F8" s="1" t="s">
        <v>451</v>
      </c>
    </row>
    <row r="9" spans="1:6" x14ac:dyDescent="0.2">
      <c r="A9" s="1">
        <v>6</v>
      </c>
      <c r="B9" s="1" t="s">
        <v>96</v>
      </c>
      <c r="C9" s="1" t="s">
        <v>452</v>
      </c>
      <c r="D9" s="1" t="s">
        <v>91</v>
      </c>
      <c r="E9" s="1" t="s">
        <v>438</v>
      </c>
      <c r="F9" s="1" t="s">
        <v>453</v>
      </c>
    </row>
    <row r="10" spans="1:6" x14ac:dyDescent="0.2">
      <c r="A10" s="1">
        <v>7</v>
      </c>
      <c r="B10" s="1" t="s">
        <v>102</v>
      </c>
      <c r="C10" s="1" t="s">
        <v>454</v>
      </c>
      <c r="D10" s="1" t="s">
        <v>102</v>
      </c>
      <c r="E10" s="1" t="s">
        <v>25</v>
      </c>
      <c r="F10" s="1" t="s">
        <v>455</v>
      </c>
    </row>
    <row r="11" spans="1:6" x14ac:dyDescent="0.2">
      <c r="A11" s="1">
        <v>8</v>
      </c>
      <c r="B11" s="1" t="s">
        <v>109</v>
      </c>
      <c r="C11" s="1" t="s">
        <v>456</v>
      </c>
      <c r="D11" s="1" t="s">
        <v>109</v>
      </c>
      <c r="E11" s="1" t="s">
        <v>114</v>
      </c>
      <c r="F11" s="1" t="s">
        <v>457</v>
      </c>
    </row>
    <row r="12" spans="1:6" x14ac:dyDescent="0.2">
      <c r="A12" s="1">
        <v>9</v>
      </c>
      <c r="B12" s="1" t="s">
        <v>124</v>
      </c>
      <c r="C12" s="1" t="s">
        <v>458</v>
      </c>
      <c r="D12" s="1" t="s">
        <v>121</v>
      </c>
      <c r="E12" s="1" t="s">
        <v>459</v>
      </c>
      <c r="F12" s="1" t="s">
        <v>460</v>
      </c>
    </row>
    <row r="13" spans="1:6" x14ac:dyDescent="0.2">
      <c r="A13" s="1">
        <v>10</v>
      </c>
      <c r="B13" s="1" t="s">
        <v>131</v>
      </c>
      <c r="C13" s="1" t="s">
        <v>461</v>
      </c>
      <c r="D13" s="1" t="s">
        <v>128</v>
      </c>
      <c r="E13" s="1" t="s">
        <v>459</v>
      </c>
      <c r="F13" s="1" t="s">
        <v>462</v>
      </c>
    </row>
    <row r="14" spans="1:6" x14ac:dyDescent="0.2">
      <c r="A14" s="1">
        <v>11</v>
      </c>
      <c r="B14" s="1" t="s">
        <v>135</v>
      </c>
      <c r="C14" s="1" t="s">
        <v>463</v>
      </c>
      <c r="D14" s="1" t="s">
        <v>135</v>
      </c>
      <c r="E14" s="1" t="s">
        <v>25</v>
      </c>
      <c r="F14" s="1" t="s">
        <v>464</v>
      </c>
    </row>
    <row r="15" spans="1:6" x14ac:dyDescent="0.2">
      <c r="A15" s="1">
        <v>12</v>
      </c>
      <c r="B15" s="1" t="s">
        <v>144</v>
      </c>
      <c r="C15" s="1" t="s">
        <v>465</v>
      </c>
      <c r="D15" s="1" t="s">
        <v>141</v>
      </c>
      <c r="E15" s="1" t="s">
        <v>25</v>
      </c>
      <c r="F15" s="1" t="s">
        <v>466</v>
      </c>
    </row>
    <row r="16" spans="1:6" x14ac:dyDescent="0.2">
      <c r="A16" s="1">
        <v>13</v>
      </c>
      <c r="B16" s="1" t="s">
        <v>152</v>
      </c>
      <c r="C16" s="1" t="s">
        <v>467</v>
      </c>
      <c r="D16" s="1" t="s">
        <v>152</v>
      </c>
      <c r="E16" s="1" t="s">
        <v>114</v>
      </c>
      <c r="F16" s="1" t="s">
        <v>468</v>
      </c>
    </row>
    <row r="17" spans="1:6" x14ac:dyDescent="0.2">
      <c r="A17" s="1">
        <v>14</v>
      </c>
      <c r="B17" s="1" t="s">
        <v>169</v>
      </c>
      <c r="C17" s="1" t="s">
        <v>469</v>
      </c>
      <c r="D17" s="1" t="s">
        <v>166</v>
      </c>
      <c r="E17" s="1" t="s">
        <v>25</v>
      </c>
      <c r="F17" s="1" t="s">
        <v>470</v>
      </c>
    </row>
    <row r="18" spans="1:6" x14ac:dyDescent="0.2">
      <c r="A18" s="1">
        <v>15</v>
      </c>
      <c r="B18" s="1" t="s">
        <v>176</v>
      </c>
      <c r="C18" s="1" t="s">
        <v>471</v>
      </c>
      <c r="D18" s="1" t="s">
        <v>173</v>
      </c>
      <c r="E18" s="1" t="s">
        <v>25</v>
      </c>
      <c r="F18" s="1" t="s">
        <v>472</v>
      </c>
    </row>
    <row r="19" spans="1:6" x14ac:dyDescent="0.2">
      <c r="A19" s="1">
        <v>16</v>
      </c>
      <c r="B19" s="1" t="s">
        <v>185</v>
      </c>
      <c r="C19" s="1" t="s">
        <v>473</v>
      </c>
      <c r="D19" s="1" t="s">
        <v>181</v>
      </c>
      <c r="E19" s="1" t="s">
        <v>25</v>
      </c>
      <c r="F19" s="1" t="s">
        <v>474</v>
      </c>
    </row>
    <row r="20" spans="1:6" x14ac:dyDescent="0.2">
      <c r="A20" s="1">
        <v>17</v>
      </c>
      <c r="B20" s="1" t="s">
        <v>192</v>
      </c>
      <c r="C20" s="1" t="s">
        <v>475</v>
      </c>
      <c r="D20" s="1" t="s">
        <v>192</v>
      </c>
      <c r="E20" s="1" t="s">
        <v>25</v>
      </c>
      <c r="F20" s="1" t="s">
        <v>476</v>
      </c>
    </row>
    <row r="21" spans="1:6" x14ac:dyDescent="0.2">
      <c r="A21" s="1">
        <v>18</v>
      </c>
      <c r="B21" s="1" t="s">
        <v>201</v>
      </c>
      <c r="C21" s="1" t="s">
        <v>477</v>
      </c>
      <c r="D21" s="1" t="s">
        <v>198</v>
      </c>
      <c r="E21" s="1" t="s">
        <v>25</v>
      </c>
      <c r="F21" s="1" t="s">
        <v>478</v>
      </c>
    </row>
    <row r="22" spans="1:6" x14ac:dyDescent="0.2">
      <c r="A22" s="1">
        <v>19</v>
      </c>
      <c r="B22" s="1" t="s">
        <v>206</v>
      </c>
      <c r="C22" s="1" t="s">
        <v>479</v>
      </c>
      <c r="D22" s="1" t="s">
        <v>203</v>
      </c>
      <c r="E22" s="1" t="s">
        <v>25</v>
      </c>
      <c r="F22" s="1" t="s">
        <v>480</v>
      </c>
    </row>
    <row r="23" spans="1:6" x14ac:dyDescent="0.2">
      <c r="A23" s="1">
        <v>20</v>
      </c>
      <c r="B23" s="1" t="s">
        <v>212</v>
      </c>
      <c r="C23" s="1" t="s">
        <v>481</v>
      </c>
      <c r="D23" s="1" t="s">
        <v>209</v>
      </c>
      <c r="E23" s="1" t="s">
        <v>25</v>
      </c>
      <c r="F23" s="1" t="s">
        <v>482</v>
      </c>
    </row>
    <row r="24" spans="1:6" x14ac:dyDescent="0.2">
      <c r="A24" s="1">
        <v>21</v>
      </c>
      <c r="B24" s="1" t="s">
        <v>223</v>
      </c>
      <c r="C24" s="1" t="s">
        <v>483</v>
      </c>
      <c r="D24" s="1" t="s">
        <v>220</v>
      </c>
      <c r="E24" s="1" t="s">
        <v>25</v>
      </c>
      <c r="F24" s="1" t="s">
        <v>484</v>
      </c>
    </row>
    <row r="25" spans="1:6" x14ac:dyDescent="0.2">
      <c r="A25" s="1">
        <v>22</v>
      </c>
      <c r="B25" s="1" t="s">
        <v>231</v>
      </c>
      <c r="C25" s="1" t="s">
        <v>485</v>
      </c>
      <c r="D25" s="1" t="s">
        <v>228</v>
      </c>
      <c r="E25" s="1" t="s">
        <v>25</v>
      </c>
      <c r="F25" s="1" t="s">
        <v>486</v>
      </c>
    </row>
    <row r="26" spans="1:6" x14ac:dyDescent="0.2">
      <c r="A26" s="1">
        <v>23</v>
      </c>
      <c r="B26" s="1" t="s">
        <v>236</v>
      </c>
      <c r="C26" s="1" t="s">
        <v>487</v>
      </c>
      <c r="D26" s="1" t="s">
        <v>233</v>
      </c>
      <c r="E26" s="1" t="s">
        <v>25</v>
      </c>
      <c r="F26" s="1" t="s">
        <v>488</v>
      </c>
    </row>
    <row r="27" spans="1:6" x14ac:dyDescent="0.2">
      <c r="A27" s="1">
        <v>24</v>
      </c>
      <c r="B27" s="1" t="s">
        <v>243</v>
      </c>
      <c r="C27" s="1" t="s">
        <v>489</v>
      </c>
      <c r="D27" s="1" t="s">
        <v>240</v>
      </c>
      <c r="E27" s="1" t="s">
        <v>114</v>
      </c>
      <c r="F27" s="1" t="s">
        <v>490</v>
      </c>
    </row>
    <row r="29" spans="1:6" x14ac:dyDescent="0.2">
      <c r="A29" s="1" t="s">
        <v>491</v>
      </c>
    </row>
    <row r="30" spans="1:6" x14ac:dyDescent="0.2">
      <c r="A30" s="1" t="s">
        <v>492</v>
      </c>
      <c r="B30" s="1" t="s">
        <v>493</v>
      </c>
    </row>
    <row r="31" spans="1:6" x14ac:dyDescent="0.2">
      <c r="A31" s="1" t="s">
        <v>494</v>
      </c>
      <c r="B31" s="1" t="s">
        <v>495</v>
      </c>
    </row>
    <row r="32" spans="1:6" x14ac:dyDescent="0.2">
      <c r="A32" s="1" t="s">
        <v>496</v>
      </c>
      <c r="B32" s="1" t="s">
        <v>497</v>
      </c>
    </row>
    <row r="34" spans="1:2" x14ac:dyDescent="0.2">
      <c r="A34" s="1" t="s">
        <v>498</v>
      </c>
    </row>
    <row r="35" spans="1:2" x14ac:dyDescent="0.2">
      <c r="A35" s="1" t="s">
        <v>499</v>
      </c>
      <c r="B35" s="1">
        <v>24</v>
      </c>
    </row>
    <row r="36" spans="1:2" x14ac:dyDescent="0.2">
      <c r="A36" s="1" t="s">
        <v>500</v>
      </c>
      <c r="B36" s="1" t="s">
        <v>501</v>
      </c>
    </row>
    <row r="37" spans="1:2" x14ac:dyDescent="0.2">
      <c r="A37" s="1" t="s">
        <v>502</v>
      </c>
      <c r="B37" s="1" t="s">
        <v>503</v>
      </c>
    </row>
    <row r="38" spans="1:2" x14ac:dyDescent="0.2">
      <c r="A38" s="1" t="s">
        <v>504</v>
      </c>
      <c r="B38" s="1" t="s">
        <v>505</v>
      </c>
    </row>
    <row r="39" spans="1:2" x14ac:dyDescent="0.2">
      <c r="A39" s="1" t="s">
        <v>506</v>
      </c>
      <c r="B39" s="1" t="s">
        <v>168</v>
      </c>
    </row>
    <row r="40" spans="1:2" x14ac:dyDescent="0.2">
      <c r="A40" s="1" t="s">
        <v>507</v>
      </c>
      <c r="B40" s="1" t="s">
        <v>508</v>
      </c>
    </row>
  </sheetData>
  <pageMargins left="0.7" right="0.7" top="0.75" bottom="0.75" header="0.3" footer="0.3"/>
  <ignoredErrors>
    <ignoredError sqref="A1:F40"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79998168889431442"/>
  </sheetPr>
  <dimension ref="A1:L115"/>
  <sheetViews>
    <sheetView workbookViewId="0">
      <selection activeCell="C31" sqref="C31"/>
    </sheetView>
  </sheetViews>
  <sheetFormatPr defaultRowHeight="12.75" x14ac:dyDescent="0.2"/>
  <cols>
    <col min="1" max="1" width="12.875" style="1" customWidth="1"/>
    <col min="2" max="2" width="30.875" style="1" customWidth="1"/>
    <col min="3" max="3" width="12.875" style="1" customWidth="1"/>
    <col min="4" max="4" width="8.875" style="1" customWidth="1"/>
    <col min="5" max="5" width="55.875" style="1" customWidth="1"/>
    <col min="6" max="6" width="10.875" style="1" customWidth="1"/>
    <col min="7" max="7" width="40.875" style="1" customWidth="1"/>
    <col min="8" max="8" width="16.875" style="1" customWidth="1"/>
    <col min="9" max="9" width="90.875" style="1" customWidth="1"/>
    <col min="10" max="10" width="10.875" style="1" customWidth="1"/>
    <col min="11" max="11" width="50.875" style="1" customWidth="1"/>
    <col min="12" max="12" width="45.875" style="1" customWidth="1"/>
    <col min="13" max="16384" width="9" style="1"/>
  </cols>
  <sheetData>
    <row r="1" spans="1:12" s="26" customFormat="1" x14ac:dyDescent="0.2">
      <c r="A1" s="26" t="s">
        <v>0</v>
      </c>
      <c r="B1" s="26" t="s">
        <v>1</v>
      </c>
      <c r="C1" s="26" t="s">
        <v>2</v>
      </c>
      <c r="D1" s="26" t="s">
        <v>3</v>
      </c>
      <c r="E1" s="26" t="s">
        <v>4</v>
      </c>
      <c r="F1" s="26" t="s">
        <v>5</v>
      </c>
      <c r="G1" s="26" t="s">
        <v>6</v>
      </c>
      <c r="H1" s="26" t="s">
        <v>7</v>
      </c>
      <c r="I1" s="26" t="s">
        <v>8</v>
      </c>
      <c r="J1" s="26" t="s">
        <v>9</v>
      </c>
      <c r="K1" s="26" t="s">
        <v>10</v>
      </c>
      <c r="L1" s="26" t="s">
        <v>11</v>
      </c>
    </row>
    <row r="2" spans="1:12" x14ac:dyDescent="0.2">
      <c r="A2" s="1" t="s">
        <v>12</v>
      </c>
      <c r="B2" s="1" t="s">
        <v>13</v>
      </c>
      <c r="C2" s="1" t="s">
        <v>14</v>
      </c>
      <c r="D2" s="1" t="s">
        <v>15</v>
      </c>
      <c r="E2" s="1" t="s">
        <v>16</v>
      </c>
      <c r="F2" s="1" t="s">
        <v>17</v>
      </c>
      <c r="G2" s="1" t="s">
        <v>18</v>
      </c>
      <c r="H2" s="1" t="s">
        <v>19</v>
      </c>
      <c r="I2" s="1" t="s">
        <v>20</v>
      </c>
      <c r="J2" s="1" t="s">
        <v>21</v>
      </c>
      <c r="K2" s="1" t="s">
        <v>22</v>
      </c>
      <c r="L2" s="1" t="s">
        <v>23</v>
      </c>
    </row>
    <row r="3" spans="1:12" x14ac:dyDescent="0.2">
      <c r="A3" s="1" t="s">
        <v>12</v>
      </c>
      <c r="B3" s="1" t="s">
        <v>13</v>
      </c>
      <c r="C3" s="1" t="s">
        <v>14</v>
      </c>
      <c r="D3" s="1" t="s">
        <v>15</v>
      </c>
      <c r="E3" s="1" t="s">
        <v>16</v>
      </c>
      <c r="F3" s="1" t="s">
        <v>17</v>
      </c>
      <c r="G3" s="1" t="s">
        <v>18</v>
      </c>
      <c r="H3" s="1" t="s">
        <v>19</v>
      </c>
      <c r="I3" s="1" t="s">
        <v>24</v>
      </c>
      <c r="J3" s="1" t="s">
        <v>21</v>
      </c>
      <c r="K3" s="1" t="s">
        <v>22</v>
      </c>
      <c r="L3" s="1" t="s">
        <v>25</v>
      </c>
    </row>
    <row r="4" spans="1:12" x14ac:dyDescent="0.2">
      <c r="A4" s="1" t="s">
        <v>12</v>
      </c>
      <c r="B4" s="1" t="s">
        <v>13</v>
      </c>
      <c r="C4" s="1" t="s">
        <v>14</v>
      </c>
      <c r="D4" s="1" t="s">
        <v>15</v>
      </c>
      <c r="E4" s="1" t="s">
        <v>16</v>
      </c>
      <c r="F4" s="1" t="s">
        <v>17</v>
      </c>
      <c r="G4" s="1" t="s">
        <v>18</v>
      </c>
      <c r="H4" s="1" t="s">
        <v>26</v>
      </c>
      <c r="I4" s="1" t="s">
        <v>27</v>
      </c>
      <c r="J4" s="1" t="s">
        <v>21</v>
      </c>
      <c r="K4" s="1" t="s">
        <v>22</v>
      </c>
      <c r="L4" s="1" t="s">
        <v>25</v>
      </c>
    </row>
    <row r="5" spans="1:12" x14ac:dyDescent="0.2">
      <c r="A5" s="1" t="s">
        <v>12</v>
      </c>
      <c r="B5" s="1" t="s">
        <v>13</v>
      </c>
      <c r="C5" s="1" t="s">
        <v>14</v>
      </c>
      <c r="D5" s="1" t="s">
        <v>15</v>
      </c>
      <c r="E5" s="1" t="s">
        <v>16</v>
      </c>
      <c r="F5" s="1" t="s">
        <v>28</v>
      </c>
      <c r="G5" s="1" t="s">
        <v>29</v>
      </c>
      <c r="H5" s="1" t="s">
        <v>19</v>
      </c>
      <c r="I5" s="1" t="s">
        <v>30</v>
      </c>
      <c r="J5" s="1" t="s">
        <v>21</v>
      </c>
      <c r="K5" s="1" t="s">
        <v>22</v>
      </c>
      <c r="L5" s="1" t="s">
        <v>25</v>
      </c>
    </row>
    <row r="6" spans="1:12" x14ac:dyDescent="0.2">
      <c r="A6" s="1" t="s">
        <v>12</v>
      </c>
      <c r="B6" s="1" t="s">
        <v>13</v>
      </c>
      <c r="C6" s="1" t="s">
        <v>14</v>
      </c>
      <c r="D6" s="1" t="s">
        <v>15</v>
      </c>
      <c r="E6" s="1" t="s">
        <v>16</v>
      </c>
      <c r="F6" s="1" t="s">
        <v>28</v>
      </c>
      <c r="G6" s="1" t="s">
        <v>29</v>
      </c>
      <c r="H6" s="1" t="s">
        <v>19</v>
      </c>
      <c r="I6" s="1" t="s">
        <v>31</v>
      </c>
      <c r="J6" s="1" t="s">
        <v>21</v>
      </c>
      <c r="K6" s="1" t="s">
        <v>22</v>
      </c>
      <c r="L6" s="1" t="s">
        <v>25</v>
      </c>
    </row>
    <row r="7" spans="1:12" x14ac:dyDescent="0.2">
      <c r="A7" s="1" t="s">
        <v>12</v>
      </c>
      <c r="B7" s="1" t="s">
        <v>13</v>
      </c>
      <c r="C7" s="1" t="s">
        <v>14</v>
      </c>
      <c r="D7" s="1" t="s">
        <v>15</v>
      </c>
      <c r="E7" s="1" t="s">
        <v>16</v>
      </c>
      <c r="F7" s="1" t="s">
        <v>28</v>
      </c>
      <c r="G7" s="1" t="s">
        <v>29</v>
      </c>
      <c r="H7" s="1" t="s">
        <v>19</v>
      </c>
      <c r="I7" s="1" t="s">
        <v>32</v>
      </c>
      <c r="J7" s="1" t="s">
        <v>21</v>
      </c>
      <c r="K7" s="1" t="s">
        <v>22</v>
      </c>
      <c r="L7" s="1" t="s">
        <v>25</v>
      </c>
    </row>
    <row r="8" spans="1:12" x14ac:dyDescent="0.2">
      <c r="A8" s="1" t="s">
        <v>12</v>
      </c>
      <c r="B8" s="1" t="s">
        <v>13</v>
      </c>
      <c r="C8" s="1" t="s">
        <v>14</v>
      </c>
      <c r="D8" s="1" t="s">
        <v>15</v>
      </c>
      <c r="E8" s="1" t="s">
        <v>16</v>
      </c>
      <c r="F8" s="1" t="s">
        <v>28</v>
      </c>
      <c r="G8" s="1" t="s">
        <v>29</v>
      </c>
      <c r="H8" s="1" t="s">
        <v>26</v>
      </c>
      <c r="I8" s="1" t="s">
        <v>33</v>
      </c>
      <c r="J8" s="1" t="s">
        <v>21</v>
      </c>
      <c r="K8" s="1" t="s">
        <v>22</v>
      </c>
      <c r="L8" s="1" t="s">
        <v>25</v>
      </c>
    </row>
    <row r="9" spans="1:12" x14ac:dyDescent="0.2">
      <c r="A9" s="1" t="s">
        <v>12</v>
      </c>
      <c r="B9" s="1" t="s">
        <v>13</v>
      </c>
      <c r="C9" s="1" t="s">
        <v>14</v>
      </c>
      <c r="D9" s="1" t="s">
        <v>15</v>
      </c>
      <c r="E9" s="1" t="s">
        <v>16</v>
      </c>
      <c r="F9" s="1" t="s">
        <v>34</v>
      </c>
      <c r="G9" s="1" t="s">
        <v>35</v>
      </c>
      <c r="H9" s="1" t="s">
        <v>36</v>
      </c>
      <c r="I9" s="1" t="s">
        <v>37</v>
      </c>
      <c r="J9" s="1" t="s">
        <v>21</v>
      </c>
      <c r="K9" s="1" t="s">
        <v>22</v>
      </c>
      <c r="L9" s="1" t="s">
        <v>25</v>
      </c>
    </row>
    <row r="10" spans="1:12" x14ac:dyDescent="0.2">
      <c r="A10" s="1" t="s">
        <v>12</v>
      </c>
      <c r="B10" s="1" t="s">
        <v>13</v>
      </c>
      <c r="C10" s="1" t="s">
        <v>14</v>
      </c>
      <c r="D10" s="1" t="s">
        <v>15</v>
      </c>
      <c r="E10" s="1" t="s">
        <v>16</v>
      </c>
      <c r="F10" s="1" t="s">
        <v>34</v>
      </c>
      <c r="G10" s="1" t="s">
        <v>35</v>
      </c>
      <c r="H10" s="1" t="s">
        <v>19</v>
      </c>
      <c r="I10" s="1" t="s">
        <v>38</v>
      </c>
      <c r="J10" s="1" t="s">
        <v>21</v>
      </c>
      <c r="K10" s="1" t="s">
        <v>22</v>
      </c>
      <c r="L10" s="1" t="s">
        <v>25</v>
      </c>
    </row>
    <row r="11" spans="1:12" x14ac:dyDescent="0.2">
      <c r="A11" s="1" t="s">
        <v>12</v>
      </c>
      <c r="B11" s="1" t="s">
        <v>13</v>
      </c>
      <c r="C11" s="1" t="s">
        <v>14</v>
      </c>
      <c r="D11" s="1" t="s">
        <v>15</v>
      </c>
      <c r="E11" s="1" t="s">
        <v>16</v>
      </c>
      <c r="F11" s="1" t="s">
        <v>39</v>
      </c>
      <c r="G11" s="1" t="s">
        <v>40</v>
      </c>
      <c r="H11" s="1" t="s">
        <v>19</v>
      </c>
      <c r="I11" s="1" t="s">
        <v>41</v>
      </c>
      <c r="J11" s="1" t="s">
        <v>21</v>
      </c>
      <c r="K11" s="1" t="s">
        <v>22</v>
      </c>
      <c r="L11" s="1" t="s">
        <v>25</v>
      </c>
    </row>
    <row r="12" spans="1:12" x14ac:dyDescent="0.2">
      <c r="A12" s="1" t="s">
        <v>12</v>
      </c>
      <c r="B12" s="1" t="s">
        <v>13</v>
      </c>
      <c r="C12" s="1" t="s">
        <v>14</v>
      </c>
      <c r="D12" s="1" t="s">
        <v>15</v>
      </c>
      <c r="E12" s="1" t="s">
        <v>16</v>
      </c>
      <c r="F12" s="1" t="s">
        <v>39</v>
      </c>
      <c r="G12" s="1" t="s">
        <v>40</v>
      </c>
      <c r="H12" s="1" t="s">
        <v>19</v>
      </c>
      <c r="I12" s="1" t="s">
        <v>42</v>
      </c>
      <c r="J12" s="1" t="s">
        <v>21</v>
      </c>
      <c r="K12" s="1" t="s">
        <v>22</v>
      </c>
      <c r="L12" s="1" t="s">
        <v>25</v>
      </c>
    </row>
    <row r="13" spans="1:12" x14ac:dyDescent="0.2">
      <c r="A13" s="1" t="s">
        <v>12</v>
      </c>
      <c r="B13" s="1" t="s">
        <v>13</v>
      </c>
      <c r="C13" s="1" t="s">
        <v>14</v>
      </c>
      <c r="D13" s="1" t="s">
        <v>15</v>
      </c>
      <c r="E13" s="1" t="s">
        <v>16</v>
      </c>
      <c r="F13" s="1" t="s">
        <v>39</v>
      </c>
      <c r="G13" s="1" t="s">
        <v>40</v>
      </c>
      <c r="H13" s="1" t="s">
        <v>26</v>
      </c>
      <c r="I13" s="1" t="s">
        <v>43</v>
      </c>
      <c r="J13" s="1" t="s">
        <v>21</v>
      </c>
      <c r="K13" s="1" t="s">
        <v>22</v>
      </c>
      <c r="L13" s="1" t="s">
        <v>25</v>
      </c>
    </row>
    <row r="14" spans="1:12" x14ac:dyDescent="0.2">
      <c r="A14" s="1" t="s">
        <v>12</v>
      </c>
      <c r="B14" s="1" t="s">
        <v>13</v>
      </c>
      <c r="C14" s="1" t="s">
        <v>14</v>
      </c>
      <c r="D14" s="1" t="s">
        <v>15</v>
      </c>
      <c r="E14" s="1" t="s">
        <v>16</v>
      </c>
      <c r="F14" s="1" t="s">
        <v>44</v>
      </c>
      <c r="G14" s="1" t="s">
        <v>45</v>
      </c>
      <c r="H14" s="1" t="s">
        <v>19</v>
      </c>
      <c r="I14" s="1" t="s">
        <v>46</v>
      </c>
      <c r="J14" s="1" t="s">
        <v>47</v>
      </c>
      <c r="K14" s="1" t="s">
        <v>48</v>
      </c>
      <c r="L14" s="1" t="s">
        <v>25</v>
      </c>
    </row>
    <row r="15" spans="1:12" x14ac:dyDescent="0.2">
      <c r="A15" s="1" t="s">
        <v>12</v>
      </c>
      <c r="B15" s="1" t="s">
        <v>13</v>
      </c>
      <c r="C15" s="1" t="s">
        <v>14</v>
      </c>
      <c r="D15" s="1" t="s">
        <v>15</v>
      </c>
      <c r="E15" s="1" t="s">
        <v>16</v>
      </c>
      <c r="F15" s="1" t="s">
        <v>44</v>
      </c>
      <c r="G15" s="1" t="s">
        <v>45</v>
      </c>
      <c r="H15" s="1" t="s">
        <v>19</v>
      </c>
      <c r="I15" s="1" t="s">
        <v>49</v>
      </c>
      <c r="J15" s="1" t="s">
        <v>47</v>
      </c>
      <c r="K15" s="1" t="s">
        <v>48</v>
      </c>
      <c r="L15" s="1" t="s">
        <v>25</v>
      </c>
    </row>
    <row r="16" spans="1:12" x14ac:dyDescent="0.2">
      <c r="A16" s="1" t="s">
        <v>12</v>
      </c>
      <c r="B16" s="1" t="s">
        <v>13</v>
      </c>
      <c r="C16" s="1" t="s">
        <v>14</v>
      </c>
      <c r="D16" s="1" t="s">
        <v>15</v>
      </c>
      <c r="E16" s="1" t="s">
        <v>16</v>
      </c>
      <c r="F16" s="1" t="s">
        <v>44</v>
      </c>
      <c r="G16" s="1" t="s">
        <v>45</v>
      </c>
      <c r="H16" s="1" t="s">
        <v>26</v>
      </c>
      <c r="I16" s="1" t="s">
        <v>50</v>
      </c>
      <c r="J16" s="1" t="s">
        <v>47</v>
      </c>
      <c r="K16" s="1" t="s">
        <v>48</v>
      </c>
      <c r="L16" s="1" t="s">
        <v>25</v>
      </c>
    </row>
    <row r="17" spans="1:12" x14ac:dyDescent="0.2">
      <c r="A17" s="1" t="s">
        <v>12</v>
      </c>
      <c r="B17" s="1" t="s">
        <v>13</v>
      </c>
      <c r="C17" s="1" t="s">
        <v>14</v>
      </c>
      <c r="D17" s="1" t="s">
        <v>15</v>
      </c>
      <c r="E17" s="1" t="s">
        <v>16</v>
      </c>
      <c r="F17" s="1" t="s">
        <v>44</v>
      </c>
      <c r="G17" s="1" t="s">
        <v>45</v>
      </c>
      <c r="H17" s="1" t="s">
        <v>26</v>
      </c>
      <c r="I17" s="1" t="s">
        <v>51</v>
      </c>
      <c r="J17" s="1" t="s">
        <v>47</v>
      </c>
      <c r="K17" s="1" t="s">
        <v>48</v>
      </c>
      <c r="L17" s="1" t="s">
        <v>25</v>
      </c>
    </row>
    <row r="18" spans="1:12" x14ac:dyDescent="0.2">
      <c r="A18" s="1" t="s">
        <v>12</v>
      </c>
      <c r="B18" s="1" t="s">
        <v>13</v>
      </c>
      <c r="C18" s="1" t="s">
        <v>14</v>
      </c>
      <c r="D18" s="1" t="s">
        <v>15</v>
      </c>
      <c r="E18" s="1" t="s">
        <v>16</v>
      </c>
      <c r="F18" s="1" t="s">
        <v>52</v>
      </c>
      <c r="G18" s="1" t="s">
        <v>53</v>
      </c>
      <c r="H18" s="1" t="s">
        <v>19</v>
      </c>
      <c r="I18" s="1" t="s">
        <v>54</v>
      </c>
      <c r="J18" s="1" t="s">
        <v>55</v>
      </c>
      <c r="K18" s="1" t="s">
        <v>56</v>
      </c>
      <c r="L18" s="1" t="s">
        <v>57</v>
      </c>
    </row>
    <row r="19" spans="1:12" x14ac:dyDescent="0.2">
      <c r="A19" s="1" t="s">
        <v>12</v>
      </c>
      <c r="B19" s="1" t="s">
        <v>13</v>
      </c>
      <c r="C19" s="1" t="s">
        <v>14</v>
      </c>
      <c r="D19" s="1" t="s">
        <v>15</v>
      </c>
      <c r="E19" s="1" t="s">
        <v>16</v>
      </c>
      <c r="F19" s="1" t="s">
        <v>52</v>
      </c>
      <c r="G19" s="1" t="s">
        <v>53</v>
      </c>
      <c r="H19" s="1" t="s">
        <v>19</v>
      </c>
      <c r="I19" s="1" t="s">
        <v>58</v>
      </c>
      <c r="J19" s="1" t="s">
        <v>55</v>
      </c>
      <c r="K19" s="1" t="s">
        <v>56</v>
      </c>
      <c r="L19" s="1" t="s">
        <v>25</v>
      </c>
    </row>
    <row r="20" spans="1:12" x14ac:dyDescent="0.2">
      <c r="A20" s="1" t="s">
        <v>12</v>
      </c>
      <c r="B20" s="1" t="s">
        <v>13</v>
      </c>
      <c r="C20" s="1" t="s">
        <v>14</v>
      </c>
      <c r="D20" s="1" t="s">
        <v>15</v>
      </c>
      <c r="E20" s="1" t="s">
        <v>16</v>
      </c>
      <c r="F20" s="1" t="s">
        <v>52</v>
      </c>
      <c r="G20" s="1" t="s">
        <v>53</v>
      </c>
      <c r="H20" s="1" t="s">
        <v>26</v>
      </c>
      <c r="I20" s="1" t="s">
        <v>59</v>
      </c>
      <c r="J20" s="1" t="s">
        <v>55</v>
      </c>
      <c r="K20" s="1" t="s">
        <v>56</v>
      </c>
      <c r="L20" s="1" t="s">
        <v>25</v>
      </c>
    </row>
    <row r="21" spans="1:12" x14ac:dyDescent="0.2">
      <c r="A21" s="1" t="s">
        <v>12</v>
      </c>
      <c r="B21" s="1" t="s">
        <v>13</v>
      </c>
      <c r="C21" s="1" t="s">
        <v>14</v>
      </c>
      <c r="D21" s="1" t="s">
        <v>15</v>
      </c>
      <c r="E21" s="1" t="s">
        <v>16</v>
      </c>
      <c r="F21" s="1" t="s">
        <v>60</v>
      </c>
      <c r="G21" s="1" t="s">
        <v>61</v>
      </c>
      <c r="H21" s="1" t="s">
        <v>19</v>
      </c>
      <c r="I21" s="1" t="s">
        <v>62</v>
      </c>
      <c r="J21" s="1" t="s">
        <v>21</v>
      </c>
      <c r="K21" s="1" t="s">
        <v>22</v>
      </c>
      <c r="L21" s="1" t="s">
        <v>25</v>
      </c>
    </row>
    <row r="22" spans="1:12" x14ac:dyDescent="0.2">
      <c r="A22" s="1" t="s">
        <v>12</v>
      </c>
      <c r="B22" s="1" t="s">
        <v>13</v>
      </c>
      <c r="C22" s="1" t="s">
        <v>14</v>
      </c>
      <c r="D22" s="1" t="s">
        <v>15</v>
      </c>
      <c r="E22" s="1" t="s">
        <v>16</v>
      </c>
      <c r="F22" s="1" t="s">
        <v>60</v>
      </c>
      <c r="G22" s="1" t="s">
        <v>61</v>
      </c>
      <c r="H22" s="1" t="s">
        <v>26</v>
      </c>
      <c r="I22" s="1" t="s">
        <v>63</v>
      </c>
      <c r="J22" s="1" t="s">
        <v>21</v>
      </c>
      <c r="K22" s="1" t="s">
        <v>22</v>
      </c>
      <c r="L22" s="1" t="s">
        <v>25</v>
      </c>
    </row>
    <row r="23" spans="1:12" x14ac:dyDescent="0.2">
      <c r="A23" s="1" t="s">
        <v>12</v>
      </c>
      <c r="B23" s="1" t="s">
        <v>13</v>
      </c>
      <c r="C23" s="1" t="s">
        <v>14</v>
      </c>
      <c r="D23" s="1" t="s">
        <v>64</v>
      </c>
      <c r="E23" s="1" t="s">
        <v>65</v>
      </c>
      <c r="F23" s="1" t="s">
        <v>17</v>
      </c>
      <c r="G23" s="1" t="s">
        <v>66</v>
      </c>
      <c r="H23" s="1" t="s">
        <v>36</v>
      </c>
      <c r="I23" s="1" t="s">
        <v>67</v>
      </c>
      <c r="J23" s="1" t="s">
        <v>68</v>
      </c>
      <c r="K23" s="1" t="s">
        <v>69</v>
      </c>
      <c r="L23" s="1" t="s">
        <v>70</v>
      </c>
    </row>
    <row r="24" spans="1:12" x14ac:dyDescent="0.2">
      <c r="A24" s="1" t="s">
        <v>12</v>
      </c>
      <c r="B24" s="1" t="s">
        <v>13</v>
      </c>
      <c r="C24" s="1" t="s">
        <v>14</v>
      </c>
      <c r="D24" s="1" t="s">
        <v>64</v>
      </c>
      <c r="E24" s="1" t="s">
        <v>65</v>
      </c>
      <c r="F24" s="1" t="s">
        <v>17</v>
      </c>
      <c r="G24" s="1" t="s">
        <v>66</v>
      </c>
      <c r="H24" s="1" t="s">
        <v>19</v>
      </c>
      <c r="I24" s="1" t="s">
        <v>71</v>
      </c>
      <c r="J24" s="1" t="s">
        <v>68</v>
      </c>
      <c r="K24" s="1" t="s">
        <v>69</v>
      </c>
      <c r="L24" s="1" t="s">
        <v>25</v>
      </c>
    </row>
    <row r="25" spans="1:12" x14ac:dyDescent="0.2">
      <c r="A25" s="1" t="s">
        <v>12</v>
      </c>
      <c r="B25" s="1" t="s">
        <v>13</v>
      </c>
      <c r="C25" s="1" t="s">
        <v>14</v>
      </c>
      <c r="D25" s="1" t="s">
        <v>64</v>
      </c>
      <c r="E25" s="1" t="s">
        <v>65</v>
      </c>
      <c r="F25" s="1" t="s">
        <v>17</v>
      </c>
      <c r="G25" s="1" t="s">
        <v>66</v>
      </c>
      <c r="H25" s="1" t="s">
        <v>19</v>
      </c>
      <c r="I25" s="1" t="s">
        <v>72</v>
      </c>
      <c r="J25" s="1" t="s">
        <v>68</v>
      </c>
      <c r="K25" s="1" t="s">
        <v>69</v>
      </c>
      <c r="L25" s="1" t="s">
        <v>25</v>
      </c>
    </row>
    <row r="26" spans="1:12" x14ac:dyDescent="0.2">
      <c r="A26" s="1" t="s">
        <v>12</v>
      </c>
      <c r="B26" s="1" t="s">
        <v>13</v>
      </c>
      <c r="C26" s="1" t="s">
        <v>14</v>
      </c>
      <c r="D26" s="1" t="s">
        <v>64</v>
      </c>
      <c r="E26" s="1" t="s">
        <v>65</v>
      </c>
      <c r="F26" s="1" t="s">
        <v>28</v>
      </c>
      <c r="G26" s="1" t="s">
        <v>73</v>
      </c>
      <c r="H26" s="1" t="s">
        <v>36</v>
      </c>
      <c r="I26" s="1" t="s">
        <v>74</v>
      </c>
      <c r="J26" s="1" t="s">
        <v>68</v>
      </c>
      <c r="K26" s="1" t="s">
        <v>69</v>
      </c>
      <c r="L26" s="1" t="s">
        <v>25</v>
      </c>
    </row>
    <row r="27" spans="1:12" x14ac:dyDescent="0.2">
      <c r="A27" s="1" t="s">
        <v>12</v>
      </c>
      <c r="B27" s="1" t="s">
        <v>13</v>
      </c>
      <c r="C27" s="1" t="s">
        <v>14</v>
      </c>
      <c r="D27" s="1" t="s">
        <v>64</v>
      </c>
      <c r="E27" s="1" t="s">
        <v>65</v>
      </c>
      <c r="F27" s="1" t="s">
        <v>28</v>
      </c>
      <c r="G27" s="1" t="s">
        <v>73</v>
      </c>
      <c r="H27" s="1" t="s">
        <v>19</v>
      </c>
      <c r="I27" s="1" t="s">
        <v>75</v>
      </c>
      <c r="J27" s="1" t="s">
        <v>68</v>
      </c>
      <c r="K27" s="1" t="s">
        <v>69</v>
      </c>
      <c r="L27" s="1" t="s">
        <v>25</v>
      </c>
    </row>
    <row r="28" spans="1:12" x14ac:dyDescent="0.2">
      <c r="A28" s="1" t="s">
        <v>12</v>
      </c>
      <c r="B28" s="1" t="s">
        <v>13</v>
      </c>
      <c r="C28" s="1" t="s">
        <v>14</v>
      </c>
      <c r="D28" s="1" t="s">
        <v>64</v>
      </c>
      <c r="E28" s="1" t="s">
        <v>65</v>
      </c>
      <c r="F28" s="1" t="s">
        <v>28</v>
      </c>
      <c r="G28" s="1" t="s">
        <v>73</v>
      </c>
      <c r="H28" s="1" t="s">
        <v>19</v>
      </c>
      <c r="I28" s="1" t="s">
        <v>76</v>
      </c>
      <c r="J28" s="1" t="s">
        <v>68</v>
      </c>
      <c r="K28" s="1" t="s">
        <v>69</v>
      </c>
      <c r="L28" s="1" t="s">
        <v>25</v>
      </c>
    </row>
    <row r="29" spans="1:12" x14ac:dyDescent="0.2">
      <c r="A29" s="1" t="s">
        <v>12</v>
      </c>
      <c r="B29" s="1" t="s">
        <v>13</v>
      </c>
      <c r="C29" s="1" t="s">
        <v>14</v>
      </c>
      <c r="D29" s="1" t="s">
        <v>64</v>
      </c>
      <c r="E29" s="1" t="s">
        <v>65</v>
      </c>
      <c r="F29" s="1" t="s">
        <v>28</v>
      </c>
      <c r="G29" s="1" t="s">
        <v>73</v>
      </c>
      <c r="H29" s="1" t="s">
        <v>26</v>
      </c>
      <c r="I29" s="1" t="s">
        <v>77</v>
      </c>
      <c r="J29" s="1" t="s">
        <v>68</v>
      </c>
      <c r="K29" s="1" t="s">
        <v>69</v>
      </c>
      <c r="L29" s="1" t="s">
        <v>25</v>
      </c>
    </row>
    <row r="30" spans="1:12" x14ac:dyDescent="0.2">
      <c r="A30" s="1" t="s">
        <v>12</v>
      </c>
      <c r="B30" s="1" t="s">
        <v>13</v>
      </c>
      <c r="C30" s="1" t="s">
        <v>14</v>
      </c>
      <c r="D30" s="1" t="s">
        <v>64</v>
      </c>
      <c r="E30" s="1" t="s">
        <v>65</v>
      </c>
      <c r="F30" s="1" t="s">
        <v>34</v>
      </c>
      <c r="G30" s="1" t="s">
        <v>45</v>
      </c>
      <c r="H30" s="1" t="s">
        <v>36</v>
      </c>
      <c r="I30" s="1" t="s">
        <v>78</v>
      </c>
      <c r="J30" s="1" t="s">
        <v>68</v>
      </c>
      <c r="K30" s="1" t="s">
        <v>69</v>
      </c>
      <c r="L30" s="1" t="s">
        <v>25</v>
      </c>
    </row>
    <row r="31" spans="1:12" x14ac:dyDescent="0.2">
      <c r="A31" s="1" t="s">
        <v>12</v>
      </c>
      <c r="B31" s="1" t="s">
        <v>13</v>
      </c>
      <c r="C31" s="1" t="s">
        <v>14</v>
      </c>
      <c r="D31" s="1" t="s">
        <v>64</v>
      </c>
      <c r="E31" s="1" t="s">
        <v>65</v>
      </c>
      <c r="F31" s="1" t="s">
        <v>34</v>
      </c>
      <c r="G31" s="1" t="s">
        <v>45</v>
      </c>
      <c r="H31" s="1" t="s">
        <v>19</v>
      </c>
      <c r="I31" s="1" t="s">
        <v>79</v>
      </c>
      <c r="J31" s="1" t="s">
        <v>68</v>
      </c>
      <c r="K31" s="1" t="s">
        <v>69</v>
      </c>
      <c r="L31" s="1" t="s">
        <v>25</v>
      </c>
    </row>
    <row r="32" spans="1:12" x14ac:dyDescent="0.2">
      <c r="A32" s="1" t="s">
        <v>12</v>
      </c>
      <c r="B32" s="1" t="s">
        <v>13</v>
      </c>
      <c r="C32" s="1" t="s">
        <v>14</v>
      </c>
      <c r="D32" s="1" t="s">
        <v>64</v>
      </c>
      <c r="E32" s="1" t="s">
        <v>65</v>
      </c>
      <c r="F32" s="1" t="s">
        <v>34</v>
      </c>
      <c r="G32" s="1" t="s">
        <v>45</v>
      </c>
      <c r="H32" s="1" t="s">
        <v>19</v>
      </c>
      <c r="I32" s="1" t="s">
        <v>80</v>
      </c>
      <c r="J32" s="1" t="s">
        <v>68</v>
      </c>
      <c r="K32" s="1" t="s">
        <v>69</v>
      </c>
      <c r="L32" s="1" t="s">
        <v>25</v>
      </c>
    </row>
    <row r="33" spans="1:12" x14ac:dyDescent="0.2">
      <c r="A33" s="1" t="s">
        <v>12</v>
      </c>
      <c r="B33" s="1" t="s">
        <v>13</v>
      </c>
      <c r="C33" s="1" t="s">
        <v>14</v>
      </c>
      <c r="D33" s="1" t="s">
        <v>64</v>
      </c>
      <c r="E33" s="1" t="s">
        <v>65</v>
      </c>
      <c r="F33" s="1" t="s">
        <v>39</v>
      </c>
      <c r="G33" s="1" t="s">
        <v>81</v>
      </c>
      <c r="H33" s="1" t="s">
        <v>19</v>
      </c>
      <c r="I33" s="1" t="s">
        <v>62</v>
      </c>
      <c r="J33" s="1" t="s">
        <v>68</v>
      </c>
      <c r="K33" s="1" t="s">
        <v>69</v>
      </c>
      <c r="L33" s="1" t="s">
        <v>25</v>
      </c>
    </row>
    <row r="34" spans="1:12" x14ac:dyDescent="0.2">
      <c r="A34" s="1" t="s">
        <v>12</v>
      </c>
      <c r="B34" s="1" t="s">
        <v>13</v>
      </c>
      <c r="C34" s="1" t="s">
        <v>14</v>
      </c>
      <c r="D34" s="1" t="s">
        <v>82</v>
      </c>
      <c r="E34" s="1" t="s">
        <v>83</v>
      </c>
      <c r="F34" s="1" t="s">
        <v>17</v>
      </c>
      <c r="G34" s="1" t="s">
        <v>84</v>
      </c>
      <c r="H34" s="1" t="s">
        <v>19</v>
      </c>
      <c r="I34" s="1" t="s">
        <v>85</v>
      </c>
      <c r="J34" s="1" t="s">
        <v>86</v>
      </c>
      <c r="K34" s="1" t="s">
        <v>83</v>
      </c>
      <c r="L34" s="1" t="s">
        <v>87</v>
      </c>
    </row>
    <row r="35" spans="1:12" x14ac:dyDescent="0.2">
      <c r="A35" s="1" t="s">
        <v>12</v>
      </c>
      <c r="B35" s="1" t="s">
        <v>13</v>
      </c>
      <c r="C35" s="1" t="s">
        <v>14</v>
      </c>
      <c r="D35" s="1" t="s">
        <v>82</v>
      </c>
      <c r="E35" s="1" t="s">
        <v>83</v>
      </c>
      <c r="F35" s="1" t="s">
        <v>28</v>
      </c>
      <c r="G35" s="1" t="s">
        <v>88</v>
      </c>
      <c r="H35" s="1" t="s">
        <v>19</v>
      </c>
      <c r="I35" s="1" t="s">
        <v>89</v>
      </c>
      <c r="J35" s="1" t="s">
        <v>86</v>
      </c>
      <c r="K35" s="1" t="s">
        <v>83</v>
      </c>
      <c r="L35" s="1" t="s">
        <v>25</v>
      </c>
    </row>
    <row r="36" spans="1:12" x14ac:dyDescent="0.2">
      <c r="A36" s="1" t="s">
        <v>12</v>
      </c>
      <c r="B36" s="1" t="s">
        <v>13</v>
      </c>
      <c r="C36" s="1" t="s">
        <v>14</v>
      </c>
      <c r="D36" s="1" t="s">
        <v>90</v>
      </c>
      <c r="E36" s="1" t="s">
        <v>91</v>
      </c>
      <c r="F36" s="1" t="s">
        <v>92</v>
      </c>
      <c r="G36" s="1" t="s">
        <v>93</v>
      </c>
      <c r="H36" s="1" t="s">
        <v>36</v>
      </c>
      <c r="I36" s="1" t="s">
        <v>94</v>
      </c>
      <c r="J36" s="1" t="s">
        <v>95</v>
      </c>
      <c r="K36" s="1" t="s">
        <v>96</v>
      </c>
      <c r="L36" s="1" t="s">
        <v>97</v>
      </c>
    </row>
    <row r="37" spans="1:12" x14ac:dyDescent="0.2">
      <c r="A37" s="1" t="s">
        <v>12</v>
      </c>
      <c r="B37" s="1" t="s">
        <v>13</v>
      </c>
      <c r="C37" s="1" t="s">
        <v>14</v>
      </c>
      <c r="D37" s="1" t="s">
        <v>90</v>
      </c>
      <c r="E37" s="1" t="s">
        <v>91</v>
      </c>
      <c r="F37" s="1" t="s">
        <v>92</v>
      </c>
      <c r="G37" s="1" t="s">
        <v>93</v>
      </c>
      <c r="H37" s="1" t="s">
        <v>19</v>
      </c>
      <c r="I37" s="1" t="s">
        <v>98</v>
      </c>
      <c r="J37" s="1" t="s">
        <v>95</v>
      </c>
      <c r="K37" s="1" t="s">
        <v>96</v>
      </c>
      <c r="L37" s="1" t="s">
        <v>25</v>
      </c>
    </row>
    <row r="38" spans="1:12" x14ac:dyDescent="0.2">
      <c r="A38" s="1" t="s">
        <v>12</v>
      </c>
      <c r="B38" s="1" t="s">
        <v>13</v>
      </c>
      <c r="C38" s="1" t="s">
        <v>14</v>
      </c>
      <c r="D38" s="1" t="s">
        <v>90</v>
      </c>
      <c r="E38" s="1" t="s">
        <v>91</v>
      </c>
      <c r="F38" s="1" t="s">
        <v>92</v>
      </c>
      <c r="G38" s="1" t="s">
        <v>99</v>
      </c>
      <c r="H38" s="1" t="s">
        <v>19</v>
      </c>
      <c r="I38" s="1" t="s">
        <v>100</v>
      </c>
      <c r="J38" s="1" t="s">
        <v>95</v>
      </c>
      <c r="K38" s="1" t="s">
        <v>96</v>
      </c>
      <c r="L38" s="1" t="s">
        <v>25</v>
      </c>
    </row>
    <row r="39" spans="1:12" x14ac:dyDescent="0.2">
      <c r="A39" s="1" t="s">
        <v>12</v>
      </c>
      <c r="B39" s="1" t="s">
        <v>13</v>
      </c>
      <c r="C39" s="1" t="s">
        <v>14</v>
      </c>
      <c r="D39" s="1" t="s">
        <v>101</v>
      </c>
      <c r="E39" s="1" t="s">
        <v>102</v>
      </c>
      <c r="F39" s="1" t="s">
        <v>92</v>
      </c>
      <c r="G39" s="1" t="s">
        <v>92</v>
      </c>
      <c r="H39" s="1" t="s">
        <v>36</v>
      </c>
      <c r="I39" s="1" t="s">
        <v>103</v>
      </c>
      <c r="J39" s="1" t="s">
        <v>104</v>
      </c>
      <c r="K39" s="1" t="s">
        <v>102</v>
      </c>
      <c r="L39" s="1" t="s">
        <v>25</v>
      </c>
    </row>
    <row r="40" spans="1:12" x14ac:dyDescent="0.2">
      <c r="A40" s="1" t="s">
        <v>12</v>
      </c>
      <c r="B40" s="1" t="s">
        <v>13</v>
      </c>
      <c r="C40" s="1" t="s">
        <v>14</v>
      </c>
      <c r="D40" s="1" t="s">
        <v>101</v>
      </c>
      <c r="E40" s="1" t="s">
        <v>102</v>
      </c>
      <c r="F40" s="1" t="s">
        <v>92</v>
      </c>
      <c r="G40" s="1" t="s">
        <v>92</v>
      </c>
      <c r="H40" s="1" t="s">
        <v>19</v>
      </c>
      <c r="I40" s="1" t="s">
        <v>105</v>
      </c>
      <c r="J40" s="1" t="s">
        <v>104</v>
      </c>
      <c r="K40" s="1" t="s">
        <v>102</v>
      </c>
      <c r="L40" s="1" t="s">
        <v>25</v>
      </c>
    </row>
    <row r="41" spans="1:12" x14ac:dyDescent="0.2">
      <c r="A41" s="1" t="s">
        <v>12</v>
      </c>
      <c r="B41" s="1" t="s">
        <v>13</v>
      </c>
      <c r="C41" s="1" t="s">
        <v>14</v>
      </c>
      <c r="D41" s="1" t="s">
        <v>101</v>
      </c>
      <c r="E41" s="1" t="s">
        <v>102</v>
      </c>
      <c r="F41" s="1" t="s">
        <v>92</v>
      </c>
      <c r="G41" s="1" t="s">
        <v>92</v>
      </c>
      <c r="H41" s="1" t="s">
        <v>19</v>
      </c>
      <c r="I41" s="1" t="s">
        <v>106</v>
      </c>
      <c r="J41" s="1" t="s">
        <v>104</v>
      </c>
      <c r="K41" s="1" t="s">
        <v>102</v>
      </c>
      <c r="L41" s="1" t="s">
        <v>25</v>
      </c>
    </row>
    <row r="42" spans="1:12" x14ac:dyDescent="0.2">
      <c r="A42" s="1" t="s">
        <v>12</v>
      </c>
      <c r="B42" s="1" t="s">
        <v>13</v>
      </c>
      <c r="C42" s="1" t="s">
        <v>14</v>
      </c>
      <c r="D42" s="1" t="s">
        <v>101</v>
      </c>
      <c r="E42" s="1" t="s">
        <v>102</v>
      </c>
      <c r="F42" s="1" t="s">
        <v>92</v>
      </c>
      <c r="G42" s="1" t="s">
        <v>92</v>
      </c>
      <c r="H42" s="1" t="s">
        <v>19</v>
      </c>
      <c r="I42" s="1" t="s">
        <v>107</v>
      </c>
      <c r="J42" s="1" t="s">
        <v>104</v>
      </c>
      <c r="K42" s="1" t="s">
        <v>102</v>
      </c>
      <c r="L42" s="1" t="s">
        <v>25</v>
      </c>
    </row>
    <row r="43" spans="1:12" x14ac:dyDescent="0.2">
      <c r="A43" s="1" t="s">
        <v>12</v>
      </c>
      <c r="B43" s="1" t="s">
        <v>13</v>
      </c>
      <c r="C43" s="1" t="s">
        <v>14</v>
      </c>
      <c r="D43" s="1" t="s">
        <v>108</v>
      </c>
      <c r="E43" s="1" t="s">
        <v>109</v>
      </c>
      <c r="F43" s="1" t="s">
        <v>92</v>
      </c>
      <c r="G43" s="1" t="s">
        <v>92</v>
      </c>
      <c r="H43" s="1" t="s">
        <v>36</v>
      </c>
      <c r="I43" s="1" t="s">
        <v>110</v>
      </c>
      <c r="J43" s="1" t="s">
        <v>111</v>
      </c>
      <c r="K43" s="1" t="s">
        <v>109</v>
      </c>
      <c r="L43" s="1" t="s">
        <v>112</v>
      </c>
    </row>
    <row r="44" spans="1:12" x14ac:dyDescent="0.2">
      <c r="A44" s="1" t="s">
        <v>12</v>
      </c>
      <c r="B44" s="1" t="s">
        <v>13</v>
      </c>
      <c r="C44" s="1" t="s">
        <v>14</v>
      </c>
      <c r="D44" s="1" t="s">
        <v>108</v>
      </c>
      <c r="E44" s="1" t="s">
        <v>109</v>
      </c>
      <c r="F44" s="1" t="s">
        <v>92</v>
      </c>
      <c r="G44" s="1" t="s">
        <v>92</v>
      </c>
      <c r="H44" s="1" t="s">
        <v>19</v>
      </c>
      <c r="I44" s="1" t="s">
        <v>113</v>
      </c>
      <c r="J44" s="1" t="s">
        <v>111</v>
      </c>
      <c r="K44" s="1" t="s">
        <v>109</v>
      </c>
      <c r="L44" s="1" t="s">
        <v>114</v>
      </c>
    </row>
    <row r="45" spans="1:12" x14ac:dyDescent="0.2">
      <c r="A45" s="1" t="s">
        <v>12</v>
      </c>
      <c r="B45" s="1" t="s">
        <v>13</v>
      </c>
      <c r="C45" s="1" t="s">
        <v>14</v>
      </c>
      <c r="D45" s="1" t="s">
        <v>108</v>
      </c>
      <c r="E45" s="1" t="s">
        <v>109</v>
      </c>
      <c r="F45" s="1" t="s">
        <v>92</v>
      </c>
      <c r="G45" s="1" t="s">
        <v>92</v>
      </c>
      <c r="H45" s="1" t="s">
        <v>19</v>
      </c>
      <c r="I45" s="1" t="s">
        <v>115</v>
      </c>
      <c r="J45" s="1" t="s">
        <v>111</v>
      </c>
      <c r="K45" s="1" t="s">
        <v>109</v>
      </c>
      <c r="L45" s="1" t="s">
        <v>114</v>
      </c>
    </row>
    <row r="46" spans="1:12" x14ac:dyDescent="0.2">
      <c r="A46" s="1" t="s">
        <v>12</v>
      </c>
      <c r="B46" s="1" t="s">
        <v>13</v>
      </c>
      <c r="C46" s="1" t="s">
        <v>14</v>
      </c>
      <c r="D46" s="1" t="s">
        <v>108</v>
      </c>
      <c r="E46" s="1" t="s">
        <v>109</v>
      </c>
      <c r="F46" s="1" t="s">
        <v>92</v>
      </c>
      <c r="G46" s="1" t="s">
        <v>92</v>
      </c>
      <c r="H46" s="1" t="s">
        <v>19</v>
      </c>
      <c r="I46" s="1" t="s">
        <v>116</v>
      </c>
      <c r="J46" s="1" t="s">
        <v>111</v>
      </c>
      <c r="K46" s="1" t="s">
        <v>109</v>
      </c>
      <c r="L46" s="1" t="s">
        <v>114</v>
      </c>
    </row>
    <row r="47" spans="1:12" x14ac:dyDescent="0.2">
      <c r="A47" s="1" t="s">
        <v>12</v>
      </c>
      <c r="B47" s="1" t="s">
        <v>13</v>
      </c>
      <c r="C47" s="1" t="s">
        <v>14</v>
      </c>
      <c r="D47" s="1" t="s">
        <v>108</v>
      </c>
      <c r="E47" s="1" t="s">
        <v>109</v>
      </c>
      <c r="F47" s="1" t="s">
        <v>92</v>
      </c>
      <c r="G47" s="1" t="s">
        <v>92</v>
      </c>
      <c r="H47" s="1" t="s">
        <v>19</v>
      </c>
      <c r="I47" s="1" t="s">
        <v>117</v>
      </c>
      <c r="J47" s="1" t="s">
        <v>111</v>
      </c>
      <c r="K47" s="1" t="s">
        <v>109</v>
      </c>
      <c r="L47" s="1" t="s">
        <v>114</v>
      </c>
    </row>
    <row r="48" spans="1:12" x14ac:dyDescent="0.2">
      <c r="A48" s="1" t="s">
        <v>12</v>
      </c>
      <c r="B48" s="1" t="s">
        <v>13</v>
      </c>
      <c r="C48" s="1" t="s">
        <v>14</v>
      </c>
      <c r="D48" s="1" t="s">
        <v>108</v>
      </c>
      <c r="E48" s="1" t="s">
        <v>109</v>
      </c>
      <c r="F48" s="1" t="s">
        <v>92</v>
      </c>
      <c r="G48" s="1" t="s">
        <v>92</v>
      </c>
      <c r="H48" s="1" t="s">
        <v>19</v>
      </c>
      <c r="I48" s="1" t="s">
        <v>118</v>
      </c>
      <c r="J48" s="1" t="s">
        <v>111</v>
      </c>
      <c r="K48" s="1" t="s">
        <v>109</v>
      </c>
      <c r="L48" s="1" t="s">
        <v>114</v>
      </c>
    </row>
    <row r="49" spans="1:12" x14ac:dyDescent="0.2">
      <c r="A49" s="1" t="s">
        <v>119</v>
      </c>
      <c r="B49" s="1" t="s">
        <v>120</v>
      </c>
      <c r="C49" s="1" t="s">
        <v>14</v>
      </c>
      <c r="D49" s="1" t="s">
        <v>15</v>
      </c>
      <c r="E49" s="1" t="s">
        <v>121</v>
      </c>
      <c r="F49" s="1" t="s">
        <v>92</v>
      </c>
      <c r="G49" s="1" t="s">
        <v>92</v>
      </c>
      <c r="H49" s="1" t="s">
        <v>19</v>
      </c>
      <c r="I49" s="1" t="s">
        <v>122</v>
      </c>
      <c r="J49" s="1" t="s">
        <v>123</v>
      </c>
      <c r="K49" s="1" t="s">
        <v>124</v>
      </c>
      <c r="L49" s="1" t="s">
        <v>125</v>
      </c>
    </row>
    <row r="50" spans="1:12" x14ac:dyDescent="0.2">
      <c r="A50" s="1" t="s">
        <v>119</v>
      </c>
      <c r="B50" s="1" t="s">
        <v>120</v>
      </c>
      <c r="C50" s="1" t="s">
        <v>14</v>
      </c>
      <c r="D50" s="1" t="s">
        <v>15</v>
      </c>
      <c r="E50" s="1" t="s">
        <v>121</v>
      </c>
      <c r="F50" s="1" t="s">
        <v>92</v>
      </c>
      <c r="G50" s="1" t="s">
        <v>92</v>
      </c>
      <c r="H50" s="1" t="s">
        <v>19</v>
      </c>
      <c r="I50" s="1" t="s">
        <v>126</v>
      </c>
      <c r="J50" s="1" t="s">
        <v>123</v>
      </c>
      <c r="K50" s="1" t="s">
        <v>124</v>
      </c>
      <c r="L50" s="1" t="s">
        <v>25</v>
      </c>
    </row>
    <row r="51" spans="1:12" x14ac:dyDescent="0.2">
      <c r="A51" s="1" t="s">
        <v>119</v>
      </c>
      <c r="B51" s="1" t="s">
        <v>120</v>
      </c>
      <c r="C51" s="1" t="s">
        <v>14</v>
      </c>
      <c r="D51" s="1" t="s">
        <v>15</v>
      </c>
      <c r="E51" s="1" t="s">
        <v>121</v>
      </c>
      <c r="F51" s="1" t="s">
        <v>92</v>
      </c>
      <c r="G51" s="1" t="s">
        <v>92</v>
      </c>
      <c r="H51" s="1" t="s">
        <v>26</v>
      </c>
      <c r="I51" s="1" t="s">
        <v>127</v>
      </c>
      <c r="J51" s="1" t="s">
        <v>123</v>
      </c>
      <c r="K51" s="1" t="s">
        <v>124</v>
      </c>
      <c r="L51" s="1" t="s">
        <v>25</v>
      </c>
    </row>
    <row r="52" spans="1:12" x14ac:dyDescent="0.2">
      <c r="A52" s="1" t="s">
        <v>119</v>
      </c>
      <c r="B52" s="1" t="s">
        <v>120</v>
      </c>
      <c r="C52" s="1" t="s">
        <v>14</v>
      </c>
      <c r="D52" s="1" t="s">
        <v>64</v>
      </c>
      <c r="E52" s="1" t="s">
        <v>128</v>
      </c>
      <c r="F52" s="1" t="s">
        <v>92</v>
      </c>
      <c r="G52" s="1" t="s">
        <v>92</v>
      </c>
      <c r="H52" s="1" t="s">
        <v>19</v>
      </c>
      <c r="I52" s="1" t="s">
        <v>129</v>
      </c>
      <c r="J52" s="1" t="s">
        <v>130</v>
      </c>
      <c r="K52" s="1" t="s">
        <v>131</v>
      </c>
      <c r="L52" s="1" t="s">
        <v>125</v>
      </c>
    </row>
    <row r="53" spans="1:12" x14ac:dyDescent="0.2">
      <c r="A53" s="1" t="s">
        <v>119</v>
      </c>
      <c r="B53" s="1" t="s">
        <v>120</v>
      </c>
      <c r="C53" s="1" t="s">
        <v>14</v>
      </c>
      <c r="D53" s="1" t="s">
        <v>64</v>
      </c>
      <c r="E53" s="1" t="s">
        <v>128</v>
      </c>
      <c r="F53" s="1" t="s">
        <v>92</v>
      </c>
      <c r="G53" s="1" t="s">
        <v>92</v>
      </c>
      <c r="H53" s="1" t="s">
        <v>19</v>
      </c>
      <c r="I53" s="1" t="s">
        <v>132</v>
      </c>
      <c r="J53" s="1" t="s">
        <v>130</v>
      </c>
      <c r="K53" s="1" t="s">
        <v>131</v>
      </c>
      <c r="L53" s="1" t="s">
        <v>25</v>
      </c>
    </row>
    <row r="54" spans="1:12" x14ac:dyDescent="0.2">
      <c r="A54" s="1" t="s">
        <v>119</v>
      </c>
      <c r="B54" s="1" t="s">
        <v>120</v>
      </c>
      <c r="C54" s="1" t="s">
        <v>14</v>
      </c>
      <c r="D54" s="1" t="s">
        <v>64</v>
      </c>
      <c r="E54" s="1" t="s">
        <v>128</v>
      </c>
      <c r="F54" s="1" t="s">
        <v>92</v>
      </c>
      <c r="G54" s="1" t="s">
        <v>92</v>
      </c>
      <c r="H54" s="1" t="s">
        <v>26</v>
      </c>
      <c r="I54" s="1" t="s">
        <v>133</v>
      </c>
      <c r="J54" s="1" t="s">
        <v>130</v>
      </c>
      <c r="K54" s="1" t="s">
        <v>131</v>
      </c>
      <c r="L54" s="1" t="s">
        <v>25</v>
      </c>
    </row>
    <row r="55" spans="1:12" x14ac:dyDescent="0.2">
      <c r="A55" s="1" t="s">
        <v>119</v>
      </c>
      <c r="B55" s="1" t="s">
        <v>120</v>
      </c>
      <c r="C55" s="1" t="s">
        <v>14</v>
      </c>
      <c r="D55" s="1" t="s">
        <v>64</v>
      </c>
      <c r="E55" s="1" t="s">
        <v>128</v>
      </c>
      <c r="F55" s="1" t="s">
        <v>92</v>
      </c>
      <c r="G55" s="1" t="s">
        <v>92</v>
      </c>
      <c r="H55" s="1" t="s">
        <v>26</v>
      </c>
      <c r="I55" s="1" t="s">
        <v>134</v>
      </c>
      <c r="J55" s="1" t="s">
        <v>130</v>
      </c>
      <c r="K55" s="1" t="s">
        <v>131</v>
      </c>
      <c r="L55" s="1" t="s">
        <v>25</v>
      </c>
    </row>
    <row r="56" spans="1:12" x14ac:dyDescent="0.2">
      <c r="A56" s="1" t="s">
        <v>119</v>
      </c>
      <c r="B56" s="1" t="s">
        <v>120</v>
      </c>
      <c r="C56" s="1" t="s">
        <v>14</v>
      </c>
      <c r="D56" s="1" t="s">
        <v>82</v>
      </c>
      <c r="E56" s="1" t="s">
        <v>135</v>
      </c>
      <c r="F56" s="1" t="s">
        <v>92</v>
      </c>
      <c r="G56" s="1" t="s">
        <v>92</v>
      </c>
      <c r="H56" s="1" t="s">
        <v>19</v>
      </c>
      <c r="I56" s="1" t="s">
        <v>136</v>
      </c>
      <c r="J56" s="1" t="s">
        <v>137</v>
      </c>
      <c r="K56" s="1" t="s">
        <v>135</v>
      </c>
      <c r="L56" s="1" t="s">
        <v>25</v>
      </c>
    </row>
    <row r="57" spans="1:12" x14ac:dyDescent="0.2">
      <c r="A57" s="1" t="s">
        <v>119</v>
      </c>
      <c r="B57" s="1" t="s">
        <v>120</v>
      </c>
      <c r="C57" s="1" t="s">
        <v>14</v>
      </c>
      <c r="D57" s="1" t="s">
        <v>82</v>
      </c>
      <c r="E57" s="1" t="s">
        <v>135</v>
      </c>
      <c r="F57" s="1" t="s">
        <v>92</v>
      </c>
      <c r="G57" s="1" t="s">
        <v>92</v>
      </c>
      <c r="H57" s="1" t="s">
        <v>19</v>
      </c>
      <c r="I57" s="1" t="s">
        <v>138</v>
      </c>
      <c r="J57" s="1" t="s">
        <v>137</v>
      </c>
      <c r="K57" s="1" t="s">
        <v>135</v>
      </c>
      <c r="L57" s="1" t="s">
        <v>25</v>
      </c>
    </row>
    <row r="58" spans="1:12" x14ac:dyDescent="0.2">
      <c r="A58" s="1" t="s">
        <v>119</v>
      </c>
      <c r="B58" s="1" t="s">
        <v>120</v>
      </c>
      <c r="C58" s="1" t="s">
        <v>14</v>
      </c>
      <c r="D58" s="1" t="s">
        <v>82</v>
      </c>
      <c r="E58" s="1" t="s">
        <v>135</v>
      </c>
      <c r="F58" s="1" t="s">
        <v>92</v>
      </c>
      <c r="G58" s="1" t="s">
        <v>92</v>
      </c>
      <c r="H58" s="1" t="s">
        <v>26</v>
      </c>
      <c r="I58" s="1" t="s">
        <v>139</v>
      </c>
      <c r="J58" s="1" t="s">
        <v>137</v>
      </c>
      <c r="K58" s="1" t="s">
        <v>135</v>
      </c>
      <c r="L58" s="1" t="s">
        <v>25</v>
      </c>
    </row>
    <row r="59" spans="1:12" x14ac:dyDescent="0.2">
      <c r="A59" s="1" t="s">
        <v>119</v>
      </c>
      <c r="B59" s="1" t="s">
        <v>120</v>
      </c>
      <c r="C59" s="1" t="s">
        <v>14</v>
      </c>
      <c r="D59" s="1" t="s">
        <v>82</v>
      </c>
      <c r="E59" s="1" t="s">
        <v>135</v>
      </c>
      <c r="F59" s="1" t="s">
        <v>92</v>
      </c>
      <c r="G59" s="1" t="s">
        <v>92</v>
      </c>
      <c r="H59" s="1" t="s">
        <v>26</v>
      </c>
      <c r="I59" s="1" t="s">
        <v>140</v>
      </c>
      <c r="J59" s="1" t="s">
        <v>137</v>
      </c>
      <c r="K59" s="1" t="s">
        <v>135</v>
      </c>
      <c r="L59" s="1" t="s">
        <v>25</v>
      </c>
    </row>
    <row r="60" spans="1:12" x14ac:dyDescent="0.2">
      <c r="A60" s="1" t="s">
        <v>119</v>
      </c>
      <c r="B60" s="1" t="s">
        <v>120</v>
      </c>
      <c r="C60" s="1" t="s">
        <v>14</v>
      </c>
      <c r="D60" s="1" t="s">
        <v>90</v>
      </c>
      <c r="E60" s="1" t="s">
        <v>141</v>
      </c>
      <c r="F60" s="1" t="s">
        <v>92</v>
      </c>
      <c r="G60" s="1" t="s">
        <v>92</v>
      </c>
      <c r="H60" s="1" t="s">
        <v>19</v>
      </c>
      <c r="I60" s="1" t="s">
        <v>142</v>
      </c>
      <c r="J60" s="1" t="s">
        <v>143</v>
      </c>
      <c r="K60" s="1" t="s">
        <v>144</v>
      </c>
      <c r="L60" s="1" t="s">
        <v>145</v>
      </c>
    </row>
    <row r="61" spans="1:12" x14ac:dyDescent="0.2">
      <c r="A61" s="1" t="s">
        <v>119</v>
      </c>
      <c r="B61" s="1" t="s">
        <v>120</v>
      </c>
      <c r="C61" s="1" t="s">
        <v>14</v>
      </c>
      <c r="D61" s="1" t="s">
        <v>90</v>
      </c>
      <c r="E61" s="1" t="s">
        <v>141</v>
      </c>
      <c r="F61" s="1" t="s">
        <v>92</v>
      </c>
      <c r="G61" s="1" t="s">
        <v>92</v>
      </c>
      <c r="H61" s="1" t="s">
        <v>19</v>
      </c>
      <c r="I61" s="1" t="s">
        <v>146</v>
      </c>
      <c r="J61" s="1" t="s">
        <v>143</v>
      </c>
      <c r="K61" s="1" t="s">
        <v>144</v>
      </c>
      <c r="L61" s="1" t="s">
        <v>25</v>
      </c>
    </row>
    <row r="62" spans="1:12" x14ac:dyDescent="0.2">
      <c r="A62" s="1" t="s">
        <v>119</v>
      </c>
      <c r="B62" s="1" t="s">
        <v>120</v>
      </c>
      <c r="C62" s="1" t="s">
        <v>14</v>
      </c>
      <c r="D62" s="1" t="s">
        <v>90</v>
      </c>
      <c r="E62" s="1" t="s">
        <v>141</v>
      </c>
      <c r="F62" s="1" t="s">
        <v>92</v>
      </c>
      <c r="G62" s="1" t="s">
        <v>92</v>
      </c>
      <c r="H62" s="1" t="s">
        <v>19</v>
      </c>
      <c r="I62" s="1" t="s">
        <v>147</v>
      </c>
      <c r="J62" s="1" t="s">
        <v>143</v>
      </c>
      <c r="K62" s="1" t="s">
        <v>144</v>
      </c>
      <c r="L62" s="1" t="s">
        <v>25</v>
      </c>
    </row>
    <row r="63" spans="1:12" x14ac:dyDescent="0.2">
      <c r="A63" s="1" t="s">
        <v>119</v>
      </c>
      <c r="B63" s="1" t="s">
        <v>120</v>
      </c>
      <c r="C63" s="1" t="s">
        <v>14</v>
      </c>
      <c r="D63" s="1" t="s">
        <v>90</v>
      </c>
      <c r="E63" s="1" t="s">
        <v>141</v>
      </c>
      <c r="F63" s="1" t="s">
        <v>92</v>
      </c>
      <c r="G63" s="1" t="s">
        <v>92</v>
      </c>
      <c r="H63" s="1" t="s">
        <v>19</v>
      </c>
      <c r="I63" s="1" t="s">
        <v>148</v>
      </c>
      <c r="J63" s="1" t="s">
        <v>143</v>
      </c>
      <c r="K63" s="1" t="s">
        <v>144</v>
      </c>
      <c r="L63" s="1" t="s">
        <v>25</v>
      </c>
    </row>
    <row r="64" spans="1:12" x14ac:dyDescent="0.2">
      <c r="A64" s="1" t="s">
        <v>119</v>
      </c>
      <c r="B64" s="1" t="s">
        <v>120</v>
      </c>
      <c r="C64" s="1" t="s">
        <v>14</v>
      </c>
      <c r="D64" s="1" t="s">
        <v>90</v>
      </c>
      <c r="E64" s="1" t="s">
        <v>141</v>
      </c>
      <c r="F64" s="1" t="s">
        <v>92</v>
      </c>
      <c r="G64" s="1" t="s">
        <v>92</v>
      </c>
      <c r="H64" s="1" t="s">
        <v>19</v>
      </c>
      <c r="I64" s="1" t="s">
        <v>149</v>
      </c>
      <c r="J64" s="1" t="s">
        <v>143</v>
      </c>
      <c r="K64" s="1" t="s">
        <v>144</v>
      </c>
      <c r="L64" s="1" t="s">
        <v>25</v>
      </c>
    </row>
    <row r="65" spans="1:12" x14ac:dyDescent="0.2">
      <c r="A65" s="1" t="s">
        <v>119</v>
      </c>
      <c r="B65" s="1" t="s">
        <v>120</v>
      </c>
      <c r="C65" s="1" t="s">
        <v>14</v>
      </c>
      <c r="D65" s="1" t="s">
        <v>90</v>
      </c>
      <c r="E65" s="1" t="s">
        <v>141</v>
      </c>
      <c r="F65" s="1" t="s">
        <v>92</v>
      </c>
      <c r="G65" s="1" t="s">
        <v>92</v>
      </c>
      <c r="H65" s="1" t="s">
        <v>26</v>
      </c>
      <c r="I65" s="1" t="s">
        <v>150</v>
      </c>
      <c r="J65" s="1" t="s">
        <v>143</v>
      </c>
      <c r="K65" s="1" t="s">
        <v>144</v>
      </c>
      <c r="L65" s="1" t="s">
        <v>25</v>
      </c>
    </row>
    <row r="66" spans="1:12" x14ac:dyDescent="0.2">
      <c r="A66" s="1" t="s">
        <v>119</v>
      </c>
      <c r="B66" s="1" t="s">
        <v>120</v>
      </c>
      <c r="C66" s="1" t="s">
        <v>14</v>
      </c>
      <c r="D66" s="1" t="s">
        <v>90</v>
      </c>
      <c r="E66" s="1" t="s">
        <v>141</v>
      </c>
      <c r="F66" s="1" t="s">
        <v>92</v>
      </c>
      <c r="G66" s="1" t="s">
        <v>92</v>
      </c>
      <c r="H66" s="1" t="s">
        <v>26</v>
      </c>
      <c r="I66" s="1" t="s">
        <v>151</v>
      </c>
      <c r="J66" s="1" t="s">
        <v>143</v>
      </c>
      <c r="K66" s="1" t="s">
        <v>144</v>
      </c>
      <c r="L66" s="1" t="s">
        <v>25</v>
      </c>
    </row>
    <row r="67" spans="1:12" x14ac:dyDescent="0.2">
      <c r="A67" s="1" t="s">
        <v>119</v>
      </c>
      <c r="B67" s="1" t="s">
        <v>120</v>
      </c>
      <c r="C67" s="1" t="s">
        <v>14</v>
      </c>
      <c r="D67" s="1" t="s">
        <v>101</v>
      </c>
      <c r="E67" s="1" t="s">
        <v>152</v>
      </c>
      <c r="F67" s="1" t="s">
        <v>17</v>
      </c>
      <c r="G67" s="1" t="s">
        <v>153</v>
      </c>
      <c r="H67" s="1" t="s">
        <v>36</v>
      </c>
      <c r="I67" s="1" t="s">
        <v>154</v>
      </c>
      <c r="J67" s="1" t="s">
        <v>155</v>
      </c>
      <c r="K67" s="1" t="s">
        <v>152</v>
      </c>
      <c r="L67" s="1" t="s">
        <v>112</v>
      </c>
    </row>
    <row r="68" spans="1:12" x14ac:dyDescent="0.2">
      <c r="A68" s="1" t="s">
        <v>119</v>
      </c>
      <c r="B68" s="1" t="s">
        <v>120</v>
      </c>
      <c r="C68" s="1" t="s">
        <v>14</v>
      </c>
      <c r="D68" s="1" t="s">
        <v>101</v>
      </c>
      <c r="E68" s="1" t="s">
        <v>152</v>
      </c>
      <c r="F68" s="1" t="s">
        <v>17</v>
      </c>
      <c r="G68" s="1" t="s">
        <v>153</v>
      </c>
      <c r="H68" s="1" t="s">
        <v>19</v>
      </c>
      <c r="I68" s="1" t="s">
        <v>156</v>
      </c>
      <c r="J68" s="1" t="s">
        <v>155</v>
      </c>
      <c r="K68" s="1" t="s">
        <v>152</v>
      </c>
      <c r="L68" s="1" t="s">
        <v>114</v>
      </c>
    </row>
    <row r="69" spans="1:12" x14ac:dyDescent="0.2">
      <c r="A69" s="1" t="s">
        <v>119</v>
      </c>
      <c r="B69" s="1" t="s">
        <v>120</v>
      </c>
      <c r="C69" s="1" t="s">
        <v>14</v>
      </c>
      <c r="D69" s="1" t="s">
        <v>101</v>
      </c>
      <c r="E69" s="1" t="s">
        <v>152</v>
      </c>
      <c r="F69" s="1" t="s">
        <v>17</v>
      </c>
      <c r="G69" s="1" t="s">
        <v>153</v>
      </c>
      <c r="H69" s="1" t="s">
        <v>19</v>
      </c>
      <c r="I69" s="1" t="s">
        <v>157</v>
      </c>
      <c r="J69" s="1" t="s">
        <v>155</v>
      </c>
      <c r="K69" s="1" t="s">
        <v>152</v>
      </c>
      <c r="L69" s="1" t="s">
        <v>114</v>
      </c>
    </row>
    <row r="70" spans="1:12" x14ac:dyDescent="0.2">
      <c r="A70" s="1" t="s">
        <v>119</v>
      </c>
      <c r="B70" s="1" t="s">
        <v>120</v>
      </c>
      <c r="C70" s="1" t="s">
        <v>14</v>
      </c>
      <c r="D70" s="1" t="s">
        <v>101</v>
      </c>
      <c r="E70" s="1" t="s">
        <v>152</v>
      </c>
      <c r="F70" s="1" t="s">
        <v>17</v>
      </c>
      <c r="G70" s="1" t="s">
        <v>153</v>
      </c>
      <c r="H70" s="1" t="s">
        <v>19</v>
      </c>
      <c r="I70" s="1" t="s">
        <v>158</v>
      </c>
      <c r="J70" s="1" t="s">
        <v>155</v>
      </c>
      <c r="K70" s="1" t="s">
        <v>152</v>
      </c>
      <c r="L70" s="1" t="s">
        <v>114</v>
      </c>
    </row>
    <row r="71" spans="1:12" x14ac:dyDescent="0.2">
      <c r="A71" s="1" t="s">
        <v>119</v>
      </c>
      <c r="B71" s="1" t="s">
        <v>120</v>
      </c>
      <c r="C71" s="1" t="s">
        <v>14</v>
      </c>
      <c r="D71" s="1" t="s">
        <v>101</v>
      </c>
      <c r="E71" s="1" t="s">
        <v>152</v>
      </c>
      <c r="F71" s="1" t="s">
        <v>28</v>
      </c>
      <c r="G71" s="1" t="s">
        <v>159</v>
      </c>
      <c r="H71" s="1" t="s">
        <v>36</v>
      </c>
      <c r="I71" s="1" t="s">
        <v>160</v>
      </c>
      <c r="J71" s="1" t="s">
        <v>155</v>
      </c>
      <c r="K71" s="1" t="s">
        <v>152</v>
      </c>
      <c r="L71" s="1" t="s">
        <v>114</v>
      </c>
    </row>
    <row r="72" spans="1:12" x14ac:dyDescent="0.2">
      <c r="A72" s="1" t="s">
        <v>119</v>
      </c>
      <c r="B72" s="1" t="s">
        <v>120</v>
      </c>
      <c r="C72" s="1" t="s">
        <v>14</v>
      </c>
      <c r="D72" s="1" t="s">
        <v>101</v>
      </c>
      <c r="E72" s="1" t="s">
        <v>152</v>
      </c>
      <c r="F72" s="1" t="s">
        <v>28</v>
      </c>
      <c r="G72" s="1" t="s">
        <v>159</v>
      </c>
      <c r="H72" s="1" t="s">
        <v>19</v>
      </c>
      <c r="I72" s="1" t="s">
        <v>161</v>
      </c>
      <c r="J72" s="1" t="s">
        <v>155</v>
      </c>
      <c r="K72" s="1" t="s">
        <v>152</v>
      </c>
      <c r="L72" s="1" t="s">
        <v>114</v>
      </c>
    </row>
    <row r="73" spans="1:12" x14ac:dyDescent="0.2">
      <c r="A73" s="1" t="s">
        <v>119</v>
      </c>
      <c r="B73" s="1" t="s">
        <v>120</v>
      </c>
      <c r="C73" s="1" t="s">
        <v>14</v>
      </c>
      <c r="D73" s="1" t="s">
        <v>101</v>
      </c>
      <c r="E73" s="1" t="s">
        <v>152</v>
      </c>
      <c r="F73" s="1" t="s">
        <v>28</v>
      </c>
      <c r="G73" s="1" t="s">
        <v>159</v>
      </c>
      <c r="H73" s="1" t="s">
        <v>19</v>
      </c>
      <c r="I73" s="1" t="s">
        <v>162</v>
      </c>
      <c r="J73" s="1" t="s">
        <v>155</v>
      </c>
      <c r="K73" s="1" t="s">
        <v>152</v>
      </c>
      <c r="L73" s="1" t="s">
        <v>114</v>
      </c>
    </row>
    <row r="74" spans="1:12" x14ac:dyDescent="0.2">
      <c r="A74" s="1" t="s">
        <v>119</v>
      </c>
      <c r="B74" s="1" t="s">
        <v>120</v>
      </c>
      <c r="C74" s="1" t="s">
        <v>14</v>
      </c>
      <c r="D74" s="1" t="s">
        <v>101</v>
      </c>
      <c r="E74" s="1" t="s">
        <v>152</v>
      </c>
      <c r="F74" s="1" t="s">
        <v>34</v>
      </c>
      <c r="G74" s="1" t="s">
        <v>163</v>
      </c>
      <c r="H74" s="1" t="s">
        <v>36</v>
      </c>
      <c r="I74" s="1" t="s">
        <v>164</v>
      </c>
      <c r="J74" s="1" t="s">
        <v>155</v>
      </c>
      <c r="K74" s="1" t="s">
        <v>152</v>
      </c>
      <c r="L74" s="1" t="s">
        <v>114</v>
      </c>
    </row>
    <row r="75" spans="1:12" x14ac:dyDescent="0.2">
      <c r="A75" s="1" t="s">
        <v>119</v>
      </c>
      <c r="B75" s="1" t="s">
        <v>120</v>
      </c>
      <c r="C75" s="1" t="s">
        <v>14</v>
      </c>
      <c r="D75" s="1" t="s">
        <v>101</v>
      </c>
      <c r="E75" s="1" t="s">
        <v>152</v>
      </c>
      <c r="F75" s="1" t="s">
        <v>34</v>
      </c>
      <c r="G75" s="1" t="s">
        <v>163</v>
      </c>
      <c r="H75" s="1" t="s">
        <v>19</v>
      </c>
      <c r="I75" s="1" t="s">
        <v>165</v>
      </c>
      <c r="J75" s="1" t="s">
        <v>155</v>
      </c>
      <c r="K75" s="1" t="s">
        <v>152</v>
      </c>
      <c r="L75" s="1" t="s">
        <v>114</v>
      </c>
    </row>
    <row r="76" spans="1:12" x14ac:dyDescent="0.2">
      <c r="A76" s="1" t="s">
        <v>119</v>
      </c>
      <c r="B76" s="1" t="s">
        <v>120</v>
      </c>
      <c r="C76" s="1" t="s">
        <v>14</v>
      </c>
      <c r="D76" s="1" t="s">
        <v>108</v>
      </c>
      <c r="E76" s="1" t="s">
        <v>166</v>
      </c>
      <c r="F76" s="1" t="s">
        <v>92</v>
      </c>
      <c r="G76" s="1" t="s">
        <v>92</v>
      </c>
      <c r="H76" s="1" t="s">
        <v>36</v>
      </c>
      <c r="I76" s="1" t="s">
        <v>167</v>
      </c>
      <c r="J76" s="1" t="s">
        <v>168</v>
      </c>
      <c r="K76" s="1" t="s">
        <v>169</v>
      </c>
      <c r="L76" s="1" t="s">
        <v>25</v>
      </c>
    </row>
    <row r="77" spans="1:12" x14ac:dyDescent="0.2">
      <c r="A77" s="1" t="s">
        <v>119</v>
      </c>
      <c r="B77" s="1" t="s">
        <v>120</v>
      </c>
      <c r="C77" s="1" t="s">
        <v>14</v>
      </c>
      <c r="D77" s="1" t="s">
        <v>108</v>
      </c>
      <c r="E77" s="1" t="s">
        <v>166</v>
      </c>
      <c r="F77" s="1" t="s">
        <v>92</v>
      </c>
      <c r="G77" s="1" t="s">
        <v>92</v>
      </c>
      <c r="H77" s="1" t="s">
        <v>19</v>
      </c>
      <c r="I77" s="1" t="s">
        <v>170</v>
      </c>
      <c r="J77" s="1" t="s">
        <v>168</v>
      </c>
      <c r="K77" s="1" t="s">
        <v>169</v>
      </c>
      <c r="L77" s="1" t="s">
        <v>25</v>
      </c>
    </row>
    <row r="78" spans="1:12" x14ac:dyDescent="0.2">
      <c r="A78" s="1" t="s">
        <v>119</v>
      </c>
      <c r="B78" s="1" t="s">
        <v>120</v>
      </c>
      <c r="C78" s="1" t="s">
        <v>14</v>
      </c>
      <c r="D78" s="1" t="s">
        <v>108</v>
      </c>
      <c r="E78" s="1" t="s">
        <v>166</v>
      </c>
      <c r="F78" s="1" t="s">
        <v>92</v>
      </c>
      <c r="G78" s="1" t="s">
        <v>92</v>
      </c>
      <c r="H78" s="1" t="s">
        <v>19</v>
      </c>
      <c r="I78" s="1" t="s">
        <v>171</v>
      </c>
      <c r="J78" s="1" t="s">
        <v>168</v>
      </c>
      <c r="K78" s="1" t="s">
        <v>169</v>
      </c>
      <c r="L78" s="1" t="s">
        <v>25</v>
      </c>
    </row>
    <row r="79" spans="1:12" x14ac:dyDescent="0.2">
      <c r="A79" s="1" t="s">
        <v>119</v>
      </c>
      <c r="B79" s="1" t="s">
        <v>120</v>
      </c>
      <c r="C79" s="1" t="s">
        <v>14</v>
      </c>
      <c r="D79" s="1" t="s">
        <v>172</v>
      </c>
      <c r="E79" s="1" t="s">
        <v>173</v>
      </c>
      <c r="F79" s="1" t="s">
        <v>92</v>
      </c>
      <c r="G79" s="1" t="s">
        <v>92</v>
      </c>
      <c r="H79" s="1" t="s">
        <v>36</v>
      </c>
      <c r="I79" s="1" t="s">
        <v>174</v>
      </c>
      <c r="J79" s="1" t="s">
        <v>175</v>
      </c>
      <c r="K79" s="1" t="s">
        <v>176</v>
      </c>
      <c r="L79" s="1" t="s">
        <v>25</v>
      </c>
    </row>
    <row r="80" spans="1:12" x14ac:dyDescent="0.2">
      <c r="A80" s="1" t="s">
        <v>119</v>
      </c>
      <c r="B80" s="1" t="s">
        <v>120</v>
      </c>
      <c r="C80" s="1" t="s">
        <v>14</v>
      </c>
      <c r="D80" s="1" t="s">
        <v>172</v>
      </c>
      <c r="E80" s="1" t="s">
        <v>173</v>
      </c>
      <c r="F80" s="1" t="s">
        <v>92</v>
      </c>
      <c r="G80" s="1" t="s">
        <v>92</v>
      </c>
      <c r="H80" s="1" t="s">
        <v>19</v>
      </c>
      <c r="I80" s="1" t="s">
        <v>177</v>
      </c>
      <c r="J80" s="1" t="s">
        <v>175</v>
      </c>
      <c r="K80" s="1" t="s">
        <v>176</v>
      </c>
      <c r="L80" s="1" t="s">
        <v>25</v>
      </c>
    </row>
    <row r="81" spans="1:12" x14ac:dyDescent="0.2">
      <c r="A81" s="1" t="s">
        <v>119</v>
      </c>
      <c r="B81" s="1" t="s">
        <v>120</v>
      </c>
      <c r="C81" s="1" t="s">
        <v>14</v>
      </c>
      <c r="D81" s="1" t="s">
        <v>172</v>
      </c>
      <c r="E81" s="1" t="s">
        <v>173</v>
      </c>
      <c r="F81" s="1" t="s">
        <v>92</v>
      </c>
      <c r="G81" s="1" t="s">
        <v>92</v>
      </c>
      <c r="H81" s="1" t="s">
        <v>19</v>
      </c>
      <c r="I81" s="1" t="s">
        <v>178</v>
      </c>
      <c r="J81" s="1" t="s">
        <v>175</v>
      </c>
      <c r="K81" s="1" t="s">
        <v>176</v>
      </c>
      <c r="L81" s="1" t="s">
        <v>25</v>
      </c>
    </row>
    <row r="82" spans="1:12" x14ac:dyDescent="0.2">
      <c r="A82" s="1" t="s">
        <v>119</v>
      </c>
      <c r="B82" s="1" t="s">
        <v>120</v>
      </c>
      <c r="C82" s="1" t="s">
        <v>14</v>
      </c>
      <c r="D82" s="1" t="s">
        <v>172</v>
      </c>
      <c r="E82" s="1" t="s">
        <v>173</v>
      </c>
      <c r="F82" s="1" t="s">
        <v>92</v>
      </c>
      <c r="G82" s="1" t="s">
        <v>92</v>
      </c>
      <c r="H82" s="1" t="s">
        <v>26</v>
      </c>
      <c r="I82" s="1" t="s">
        <v>179</v>
      </c>
      <c r="J82" s="1" t="s">
        <v>175</v>
      </c>
      <c r="K82" s="1" t="s">
        <v>176</v>
      </c>
      <c r="L82" s="1" t="s">
        <v>25</v>
      </c>
    </row>
    <row r="83" spans="1:12" x14ac:dyDescent="0.2">
      <c r="A83" s="1" t="s">
        <v>119</v>
      </c>
      <c r="B83" s="1" t="s">
        <v>120</v>
      </c>
      <c r="C83" s="1" t="s">
        <v>14</v>
      </c>
      <c r="D83" s="1" t="s">
        <v>180</v>
      </c>
      <c r="E83" s="1" t="s">
        <v>181</v>
      </c>
      <c r="F83" s="1" t="s">
        <v>17</v>
      </c>
      <c r="G83" s="1" t="s">
        <v>182</v>
      </c>
      <c r="H83" s="1" t="s">
        <v>36</v>
      </c>
      <c r="I83" s="1" t="s">
        <v>183</v>
      </c>
      <c r="J83" s="1" t="s">
        <v>184</v>
      </c>
      <c r="K83" s="1" t="s">
        <v>185</v>
      </c>
      <c r="L83" s="1" t="s">
        <v>186</v>
      </c>
    </row>
    <row r="84" spans="1:12" x14ac:dyDescent="0.2">
      <c r="A84" s="1" t="s">
        <v>119</v>
      </c>
      <c r="B84" s="1" t="s">
        <v>120</v>
      </c>
      <c r="C84" s="1" t="s">
        <v>14</v>
      </c>
      <c r="D84" s="1" t="s">
        <v>180</v>
      </c>
      <c r="E84" s="1" t="s">
        <v>181</v>
      </c>
      <c r="F84" s="1" t="s">
        <v>17</v>
      </c>
      <c r="G84" s="1" t="s">
        <v>182</v>
      </c>
      <c r="H84" s="1" t="s">
        <v>36</v>
      </c>
      <c r="I84" s="1" t="s">
        <v>187</v>
      </c>
      <c r="J84" s="1" t="s">
        <v>184</v>
      </c>
      <c r="K84" s="1" t="s">
        <v>185</v>
      </c>
      <c r="L84" s="1" t="s">
        <v>25</v>
      </c>
    </row>
    <row r="85" spans="1:12" x14ac:dyDescent="0.2">
      <c r="A85" s="1" t="s">
        <v>119</v>
      </c>
      <c r="B85" s="1" t="s">
        <v>120</v>
      </c>
      <c r="C85" s="1" t="s">
        <v>14</v>
      </c>
      <c r="D85" s="1" t="s">
        <v>180</v>
      </c>
      <c r="E85" s="1" t="s">
        <v>181</v>
      </c>
      <c r="F85" s="1" t="s">
        <v>17</v>
      </c>
      <c r="G85" s="1" t="s">
        <v>182</v>
      </c>
      <c r="H85" s="1" t="s">
        <v>19</v>
      </c>
      <c r="I85" s="1" t="s">
        <v>188</v>
      </c>
      <c r="J85" s="1" t="s">
        <v>184</v>
      </c>
      <c r="K85" s="1" t="s">
        <v>185</v>
      </c>
      <c r="L85" s="1" t="s">
        <v>25</v>
      </c>
    </row>
    <row r="86" spans="1:12" x14ac:dyDescent="0.2">
      <c r="A86" s="1" t="s">
        <v>119</v>
      </c>
      <c r="B86" s="1" t="s">
        <v>120</v>
      </c>
      <c r="C86" s="1" t="s">
        <v>14</v>
      </c>
      <c r="D86" s="1" t="s">
        <v>180</v>
      </c>
      <c r="E86" s="1" t="s">
        <v>181</v>
      </c>
      <c r="F86" s="1" t="s">
        <v>17</v>
      </c>
      <c r="G86" s="1" t="s">
        <v>182</v>
      </c>
      <c r="H86" s="1" t="s">
        <v>19</v>
      </c>
      <c r="I86" s="1" t="s">
        <v>189</v>
      </c>
      <c r="J86" s="1" t="s">
        <v>184</v>
      </c>
      <c r="K86" s="1" t="s">
        <v>185</v>
      </c>
      <c r="L86" s="1" t="s">
        <v>25</v>
      </c>
    </row>
    <row r="87" spans="1:12" x14ac:dyDescent="0.2">
      <c r="A87" s="1" t="s">
        <v>119</v>
      </c>
      <c r="B87" s="1" t="s">
        <v>120</v>
      </c>
      <c r="C87" s="1" t="s">
        <v>14</v>
      </c>
      <c r="D87" s="1" t="s">
        <v>180</v>
      </c>
      <c r="E87" s="1" t="s">
        <v>181</v>
      </c>
      <c r="F87" s="1" t="s">
        <v>28</v>
      </c>
      <c r="G87" s="1" t="s">
        <v>190</v>
      </c>
      <c r="H87" s="1" t="s">
        <v>19</v>
      </c>
      <c r="I87" s="1" t="s">
        <v>191</v>
      </c>
      <c r="J87" s="1" t="s">
        <v>184</v>
      </c>
      <c r="K87" s="1" t="s">
        <v>185</v>
      </c>
      <c r="L87" s="1" t="s">
        <v>25</v>
      </c>
    </row>
    <row r="88" spans="1:12" x14ac:dyDescent="0.2">
      <c r="A88" s="1" t="s">
        <v>119</v>
      </c>
      <c r="B88" s="1" t="s">
        <v>120</v>
      </c>
      <c r="C88" s="1" t="s">
        <v>14</v>
      </c>
      <c r="D88" s="1" t="s">
        <v>12</v>
      </c>
      <c r="E88" s="1" t="s">
        <v>192</v>
      </c>
      <c r="F88" s="1" t="s">
        <v>92</v>
      </c>
      <c r="G88" s="1" t="s">
        <v>92</v>
      </c>
      <c r="H88" s="1" t="s">
        <v>19</v>
      </c>
      <c r="I88" s="1" t="s">
        <v>193</v>
      </c>
      <c r="J88" s="1" t="s">
        <v>194</v>
      </c>
      <c r="K88" s="1" t="s">
        <v>192</v>
      </c>
      <c r="L88" s="1" t="s">
        <v>25</v>
      </c>
    </row>
    <row r="89" spans="1:12" x14ac:dyDescent="0.2">
      <c r="A89" s="1" t="s">
        <v>195</v>
      </c>
      <c r="B89" s="1" t="s">
        <v>196</v>
      </c>
      <c r="C89" s="1" t="s">
        <v>197</v>
      </c>
      <c r="D89" s="1" t="s">
        <v>15</v>
      </c>
      <c r="E89" s="1" t="s">
        <v>198</v>
      </c>
      <c r="F89" s="1" t="s">
        <v>92</v>
      </c>
      <c r="G89" s="1" t="s">
        <v>92</v>
      </c>
      <c r="H89" s="1" t="s">
        <v>19</v>
      </c>
      <c r="I89" s="1" t="s">
        <v>199</v>
      </c>
      <c r="J89" s="1" t="s">
        <v>200</v>
      </c>
      <c r="K89" s="1" t="s">
        <v>201</v>
      </c>
      <c r="L89" s="1" t="s">
        <v>25</v>
      </c>
    </row>
    <row r="90" spans="1:12" x14ac:dyDescent="0.2">
      <c r="A90" s="1" t="s">
        <v>195</v>
      </c>
      <c r="B90" s="1" t="s">
        <v>196</v>
      </c>
      <c r="C90" s="1" t="s">
        <v>197</v>
      </c>
      <c r="D90" s="1" t="s">
        <v>15</v>
      </c>
      <c r="E90" s="1" t="s">
        <v>198</v>
      </c>
      <c r="F90" s="1" t="s">
        <v>92</v>
      </c>
      <c r="G90" s="1" t="s">
        <v>92</v>
      </c>
      <c r="H90" s="1" t="s">
        <v>26</v>
      </c>
      <c r="I90" s="1" t="s">
        <v>202</v>
      </c>
      <c r="J90" s="1" t="s">
        <v>200</v>
      </c>
      <c r="K90" s="1" t="s">
        <v>201</v>
      </c>
      <c r="L90" s="1" t="s">
        <v>25</v>
      </c>
    </row>
    <row r="91" spans="1:12" x14ac:dyDescent="0.2">
      <c r="A91" s="1" t="s">
        <v>195</v>
      </c>
      <c r="B91" s="1" t="s">
        <v>196</v>
      </c>
      <c r="C91" s="1" t="s">
        <v>197</v>
      </c>
      <c r="D91" s="1" t="s">
        <v>64</v>
      </c>
      <c r="E91" s="1" t="s">
        <v>203</v>
      </c>
      <c r="F91" s="1" t="s">
        <v>92</v>
      </c>
      <c r="G91" s="1" t="s">
        <v>92</v>
      </c>
      <c r="H91" s="1" t="s">
        <v>36</v>
      </c>
      <c r="I91" s="1" t="s">
        <v>204</v>
      </c>
      <c r="J91" s="1" t="s">
        <v>205</v>
      </c>
      <c r="K91" s="1" t="s">
        <v>206</v>
      </c>
      <c r="L91" s="1" t="s">
        <v>25</v>
      </c>
    </row>
    <row r="92" spans="1:12" x14ac:dyDescent="0.2">
      <c r="A92" s="1" t="s">
        <v>195</v>
      </c>
      <c r="B92" s="1" t="s">
        <v>196</v>
      </c>
      <c r="C92" s="1" t="s">
        <v>197</v>
      </c>
      <c r="D92" s="1" t="s">
        <v>64</v>
      </c>
      <c r="E92" s="1" t="s">
        <v>203</v>
      </c>
      <c r="F92" s="1" t="s">
        <v>92</v>
      </c>
      <c r="G92" s="1" t="s">
        <v>92</v>
      </c>
      <c r="H92" s="1" t="s">
        <v>19</v>
      </c>
      <c r="I92" s="1" t="s">
        <v>207</v>
      </c>
      <c r="J92" s="1" t="s">
        <v>205</v>
      </c>
      <c r="K92" s="1" t="s">
        <v>206</v>
      </c>
      <c r="L92" s="1" t="s">
        <v>25</v>
      </c>
    </row>
    <row r="93" spans="1:12" x14ac:dyDescent="0.2">
      <c r="A93" s="1" t="s">
        <v>195</v>
      </c>
      <c r="B93" s="1" t="s">
        <v>196</v>
      </c>
      <c r="C93" s="1" t="s">
        <v>197</v>
      </c>
      <c r="D93" s="1" t="s">
        <v>64</v>
      </c>
      <c r="E93" s="1" t="s">
        <v>203</v>
      </c>
      <c r="F93" s="1" t="s">
        <v>92</v>
      </c>
      <c r="G93" s="1" t="s">
        <v>92</v>
      </c>
      <c r="H93" s="1" t="s">
        <v>26</v>
      </c>
      <c r="I93" s="1" t="s">
        <v>208</v>
      </c>
      <c r="J93" s="1" t="s">
        <v>205</v>
      </c>
      <c r="K93" s="1" t="s">
        <v>206</v>
      </c>
      <c r="L93" s="1" t="s">
        <v>25</v>
      </c>
    </row>
    <row r="94" spans="1:12" x14ac:dyDescent="0.2">
      <c r="A94" s="1" t="s">
        <v>195</v>
      </c>
      <c r="B94" s="1" t="s">
        <v>196</v>
      </c>
      <c r="C94" s="1" t="s">
        <v>197</v>
      </c>
      <c r="D94" s="1" t="s">
        <v>82</v>
      </c>
      <c r="E94" s="1" t="s">
        <v>209</v>
      </c>
      <c r="F94" s="1" t="s">
        <v>92</v>
      </c>
      <c r="G94" s="1" t="s">
        <v>92</v>
      </c>
      <c r="H94" s="1" t="s">
        <v>36</v>
      </c>
      <c r="I94" s="1" t="s">
        <v>210</v>
      </c>
      <c r="J94" s="1" t="s">
        <v>211</v>
      </c>
      <c r="K94" s="1" t="s">
        <v>212</v>
      </c>
      <c r="L94" s="1" t="s">
        <v>213</v>
      </c>
    </row>
    <row r="95" spans="1:12" x14ac:dyDescent="0.2">
      <c r="A95" s="1" t="s">
        <v>195</v>
      </c>
      <c r="B95" s="1" t="s">
        <v>196</v>
      </c>
      <c r="C95" s="1" t="s">
        <v>197</v>
      </c>
      <c r="D95" s="1" t="s">
        <v>82</v>
      </c>
      <c r="E95" s="1" t="s">
        <v>209</v>
      </c>
      <c r="F95" s="1" t="s">
        <v>92</v>
      </c>
      <c r="G95" s="1" t="s">
        <v>92</v>
      </c>
      <c r="H95" s="1" t="s">
        <v>36</v>
      </c>
      <c r="I95" s="1" t="s">
        <v>214</v>
      </c>
      <c r="J95" s="1" t="s">
        <v>211</v>
      </c>
      <c r="K95" s="1" t="s">
        <v>212</v>
      </c>
      <c r="L95" s="1" t="s">
        <v>25</v>
      </c>
    </row>
    <row r="96" spans="1:12" x14ac:dyDescent="0.2">
      <c r="A96" s="1" t="s">
        <v>195</v>
      </c>
      <c r="B96" s="1" t="s">
        <v>196</v>
      </c>
      <c r="C96" s="1" t="s">
        <v>197</v>
      </c>
      <c r="D96" s="1" t="s">
        <v>82</v>
      </c>
      <c r="E96" s="1" t="s">
        <v>209</v>
      </c>
      <c r="F96" s="1" t="s">
        <v>92</v>
      </c>
      <c r="G96" s="1" t="s">
        <v>92</v>
      </c>
      <c r="H96" s="1" t="s">
        <v>19</v>
      </c>
      <c r="I96" s="1" t="s">
        <v>215</v>
      </c>
      <c r="J96" s="1" t="s">
        <v>211</v>
      </c>
      <c r="K96" s="1" t="s">
        <v>212</v>
      </c>
      <c r="L96" s="1" t="s">
        <v>25</v>
      </c>
    </row>
    <row r="97" spans="1:12" x14ac:dyDescent="0.2">
      <c r="A97" s="1" t="s">
        <v>195</v>
      </c>
      <c r="B97" s="1" t="s">
        <v>196</v>
      </c>
      <c r="C97" s="1" t="s">
        <v>197</v>
      </c>
      <c r="D97" s="1" t="s">
        <v>82</v>
      </c>
      <c r="E97" s="1" t="s">
        <v>209</v>
      </c>
      <c r="F97" s="1" t="s">
        <v>92</v>
      </c>
      <c r="G97" s="1" t="s">
        <v>92</v>
      </c>
      <c r="H97" s="1" t="s">
        <v>19</v>
      </c>
      <c r="I97" s="1" t="s">
        <v>216</v>
      </c>
      <c r="J97" s="1" t="s">
        <v>211</v>
      </c>
      <c r="K97" s="1" t="s">
        <v>212</v>
      </c>
      <c r="L97" s="1" t="s">
        <v>25</v>
      </c>
    </row>
    <row r="98" spans="1:12" x14ac:dyDescent="0.2">
      <c r="A98" s="1" t="s">
        <v>195</v>
      </c>
      <c r="B98" s="1" t="s">
        <v>196</v>
      </c>
      <c r="C98" s="1" t="s">
        <v>197</v>
      </c>
      <c r="D98" s="1" t="s">
        <v>82</v>
      </c>
      <c r="E98" s="1" t="s">
        <v>209</v>
      </c>
      <c r="F98" s="1" t="s">
        <v>92</v>
      </c>
      <c r="G98" s="1" t="s">
        <v>92</v>
      </c>
      <c r="H98" s="1" t="s">
        <v>19</v>
      </c>
      <c r="I98" s="1" t="s">
        <v>217</v>
      </c>
      <c r="J98" s="1" t="s">
        <v>211</v>
      </c>
      <c r="K98" s="1" t="s">
        <v>212</v>
      </c>
      <c r="L98" s="1" t="s">
        <v>25</v>
      </c>
    </row>
    <row r="99" spans="1:12" x14ac:dyDescent="0.2">
      <c r="A99" s="1" t="s">
        <v>195</v>
      </c>
      <c r="B99" s="1" t="s">
        <v>196</v>
      </c>
      <c r="C99" s="1" t="s">
        <v>197</v>
      </c>
      <c r="D99" s="1" t="s">
        <v>82</v>
      </c>
      <c r="E99" s="1" t="s">
        <v>209</v>
      </c>
      <c r="F99" s="1" t="s">
        <v>92</v>
      </c>
      <c r="G99" s="1" t="s">
        <v>92</v>
      </c>
      <c r="H99" s="1" t="s">
        <v>19</v>
      </c>
      <c r="I99" s="1" t="s">
        <v>218</v>
      </c>
      <c r="J99" s="1" t="s">
        <v>211</v>
      </c>
      <c r="K99" s="1" t="s">
        <v>212</v>
      </c>
      <c r="L99" s="1" t="s">
        <v>25</v>
      </c>
    </row>
    <row r="100" spans="1:12" x14ac:dyDescent="0.2">
      <c r="A100" s="1" t="s">
        <v>195</v>
      </c>
      <c r="B100" s="1" t="s">
        <v>196</v>
      </c>
      <c r="C100" s="1" t="s">
        <v>197</v>
      </c>
      <c r="D100" s="1" t="s">
        <v>82</v>
      </c>
      <c r="E100" s="1" t="s">
        <v>209</v>
      </c>
      <c r="F100" s="1" t="s">
        <v>92</v>
      </c>
      <c r="G100" s="1" t="s">
        <v>92</v>
      </c>
      <c r="H100" s="1" t="s">
        <v>19</v>
      </c>
      <c r="I100" s="1" t="s">
        <v>219</v>
      </c>
      <c r="J100" s="1" t="s">
        <v>211</v>
      </c>
      <c r="K100" s="1" t="s">
        <v>212</v>
      </c>
      <c r="L100" s="1" t="s">
        <v>25</v>
      </c>
    </row>
    <row r="101" spans="1:12" x14ac:dyDescent="0.2">
      <c r="A101" s="1" t="s">
        <v>195</v>
      </c>
      <c r="B101" s="1" t="s">
        <v>196</v>
      </c>
      <c r="C101" s="1" t="s">
        <v>197</v>
      </c>
      <c r="D101" s="1" t="s">
        <v>90</v>
      </c>
      <c r="E101" s="1" t="s">
        <v>220</v>
      </c>
      <c r="F101" s="1" t="s">
        <v>92</v>
      </c>
      <c r="G101" s="1" t="s">
        <v>92</v>
      </c>
      <c r="H101" s="1" t="s">
        <v>36</v>
      </c>
      <c r="I101" s="1" t="s">
        <v>221</v>
      </c>
      <c r="J101" s="1" t="s">
        <v>222</v>
      </c>
      <c r="K101" s="1" t="s">
        <v>223</v>
      </c>
      <c r="L101" s="1" t="s">
        <v>25</v>
      </c>
    </row>
    <row r="102" spans="1:12" x14ac:dyDescent="0.2">
      <c r="A102" s="1" t="s">
        <v>195</v>
      </c>
      <c r="B102" s="1" t="s">
        <v>196</v>
      </c>
      <c r="C102" s="1" t="s">
        <v>197</v>
      </c>
      <c r="D102" s="1" t="s">
        <v>90</v>
      </c>
      <c r="E102" s="1" t="s">
        <v>220</v>
      </c>
      <c r="F102" s="1" t="s">
        <v>92</v>
      </c>
      <c r="G102" s="1" t="s">
        <v>92</v>
      </c>
      <c r="H102" s="1" t="s">
        <v>36</v>
      </c>
      <c r="I102" s="1" t="s">
        <v>224</v>
      </c>
      <c r="J102" s="1" t="s">
        <v>222</v>
      </c>
      <c r="K102" s="1" t="s">
        <v>223</v>
      </c>
      <c r="L102" s="1" t="s">
        <v>25</v>
      </c>
    </row>
    <row r="103" spans="1:12" x14ac:dyDescent="0.2">
      <c r="A103" s="1" t="s">
        <v>195</v>
      </c>
      <c r="B103" s="1" t="s">
        <v>196</v>
      </c>
      <c r="C103" s="1" t="s">
        <v>197</v>
      </c>
      <c r="D103" s="1" t="s">
        <v>90</v>
      </c>
      <c r="E103" s="1" t="s">
        <v>220</v>
      </c>
      <c r="F103" s="1" t="s">
        <v>92</v>
      </c>
      <c r="G103" s="1" t="s">
        <v>92</v>
      </c>
      <c r="H103" s="1" t="s">
        <v>19</v>
      </c>
      <c r="I103" s="1" t="s">
        <v>225</v>
      </c>
      <c r="J103" s="1" t="s">
        <v>222</v>
      </c>
      <c r="K103" s="1" t="s">
        <v>223</v>
      </c>
      <c r="L103" s="1" t="s">
        <v>25</v>
      </c>
    </row>
    <row r="104" spans="1:12" x14ac:dyDescent="0.2">
      <c r="A104" s="1" t="s">
        <v>195</v>
      </c>
      <c r="B104" s="1" t="s">
        <v>196</v>
      </c>
      <c r="C104" s="1" t="s">
        <v>197</v>
      </c>
      <c r="D104" s="1" t="s">
        <v>90</v>
      </c>
      <c r="E104" s="1" t="s">
        <v>220</v>
      </c>
      <c r="F104" s="1" t="s">
        <v>92</v>
      </c>
      <c r="G104" s="1" t="s">
        <v>92</v>
      </c>
      <c r="H104" s="1" t="s">
        <v>19</v>
      </c>
      <c r="I104" s="1" t="s">
        <v>226</v>
      </c>
      <c r="J104" s="1" t="s">
        <v>222</v>
      </c>
      <c r="K104" s="1" t="s">
        <v>223</v>
      </c>
      <c r="L104" s="1" t="s">
        <v>25</v>
      </c>
    </row>
    <row r="105" spans="1:12" x14ac:dyDescent="0.2">
      <c r="A105" s="1" t="s">
        <v>195</v>
      </c>
      <c r="B105" s="1" t="s">
        <v>196</v>
      </c>
      <c r="C105" s="1" t="s">
        <v>197</v>
      </c>
      <c r="D105" s="1" t="s">
        <v>90</v>
      </c>
      <c r="E105" s="1" t="s">
        <v>220</v>
      </c>
      <c r="F105" s="1" t="s">
        <v>92</v>
      </c>
      <c r="G105" s="1" t="s">
        <v>92</v>
      </c>
      <c r="H105" s="1" t="s">
        <v>19</v>
      </c>
      <c r="I105" s="1" t="s">
        <v>227</v>
      </c>
      <c r="J105" s="1" t="s">
        <v>222</v>
      </c>
      <c r="K105" s="1" t="s">
        <v>223</v>
      </c>
      <c r="L105" s="1" t="s">
        <v>25</v>
      </c>
    </row>
    <row r="106" spans="1:12" x14ac:dyDescent="0.2">
      <c r="A106" s="1" t="s">
        <v>195</v>
      </c>
      <c r="B106" s="1" t="s">
        <v>196</v>
      </c>
      <c r="C106" s="1" t="s">
        <v>197</v>
      </c>
      <c r="D106" s="1" t="s">
        <v>101</v>
      </c>
      <c r="E106" s="1" t="s">
        <v>228</v>
      </c>
      <c r="F106" s="1" t="s">
        <v>92</v>
      </c>
      <c r="G106" s="1" t="s">
        <v>92</v>
      </c>
      <c r="H106" s="1" t="s">
        <v>36</v>
      </c>
      <c r="I106" s="1" t="s">
        <v>229</v>
      </c>
      <c r="J106" s="1" t="s">
        <v>230</v>
      </c>
      <c r="K106" s="1" t="s">
        <v>231</v>
      </c>
      <c r="L106" s="1" t="s">
        <v>25</v>
      </c>
    </row>
    <row r="107" spans="1:12" x14ac:dyDescent="0.2">
      <c r="A107" s="1" t="s">
        <v>195</v>
      </c>
      <c r="B107" s="1" t="s">
        <v>196</v>
      </c>
      <c r="C107" s="1" t="s">
        <v>197</v>
      </c>
      <c r="D107" s="1" t="s">
        <v>101</v>
      </c>
      <c r="E107" s="1" t="s">
        <v>228</v>
      </c>
      <c r="F107" s="1" t="s">
        <v>92</v>
      </c>
      <c r="G107" s="1" t="s">
        <v>92</v>
      </c>
      <c r="H107" s="1" t="s">
        <v>19</v>
      </c>
      <c r="I107" s="1" t="s">
        <v>232</v>
      </c>
      <c r="J107" s="1" t="s">
        <v>230</v>
      </c>
      <c r="K107" s="1" t="s">
        <v>231</v>
      </c>
      <c r="L107" s="1" t="s">
        <v>25</v>
      </c>
    </row>
    <row r="108" spans="1:12" x14ac:dyDescent="0.2">
      <c r="A108" s="1" t="s">
        <v>195</v>
      </c>
      <c r="B108" s="1" t="s">
        <v>196</v>
      </c>
      <c r="C108" s="1" t="s">
        <v>197</v>
      </c>
      <c r="D108" s="1" t="s">
        <v>108</v>
      </c>
      <c r="E108" s="1" t="s">
        <v>233</v>
      </c>
      <c r="F108" s="1" t="s">
        <v>92</v>
      </c>
      <c r="G108" s="1" t="s">
        <v>92</v>
      </c>
      <c r="H108" s="1" t="s">
        <v>36</v>
      </c>
      <c r="I108" s="1" t="s">
        <v>234</v>
      </c>
      <c r="J108" s="1" t="s">
        <v>235</v>
      </c>
      <c r="K108" s="1" t="s">
        <v>236</v>
      </c>
      <c r="L108" s="1" t="s">
        <v>213</v>
      </c>
    </row>
    <row r="109" spans="1:12" x14ac:dyDescent="0.2">
      <c r="A109" s="1" t="s">
        <v>195</v>
      </c>
      <c r="B109" s="1" t="s">
        <v>196</v>
      </c>
      <c r="C109" s="1" t="s">
        <v>197</v>
      </c>
      <c r="D109" s="1" t="s">
        <v>108</v>
      </c>
      <c r="E109" s="1" t="s">
        <v>233</v>
      </c>
      <c r="F109" s="1" t="s">
        <v>92</v>
      </c>
      <c r="G109" s="1" t="s">
        <v>92</v>
      </c>
      <c r="H109" s="1" t="s">
        <v>36</v>
      </c>
      <c r="I109" s="1" t="s">
        <v>237</v>
      </c>
      <c r="J109" s="1" t="s">
        <v>235</v>
      </c>
      <c r="K109" s="1" t="s">
        <v>236</v>
      </c>
      <c r="L109" s="1" t="s">
        <v>25</v>
      </c>
    </row>
    <row r="110" spans="1:12" x14ac:dyDescent="0.2">
      <c r="A110" s="1" t="s">
        <v>195</v>
      </c>
      <c r="B110" s="1" t="s">
        <v>196</v>
      </c>
      <c r="C110" s="1" t="s">
        <v>197</v>
      </c>
      <c r="D110" s="1" t="s">
        <v>108</v>
      </c>
      <c r="E110" s="1" t="s">
        <v>233</v>
      </c>
      <c r="F110" s="1" t="s">
        <v>92</v>
      </c>
      <c r="G110" s="1" t="s">
        <v>92</v>
      </c>
      <c r="H110" s="1" t="s">
        <v>19</v>
      </c>
      <c r="I110" s="1" t="s">
        <v>238</v>
      </c>
      <c r="J110" s="1" t="s">
        <v>235</v>
      </c>
      <c r="K110" s="1" t="s">
        <v>236</v>
      </c>
      <c r="L110" s="1" t="s">
        <v>25</v>
      </c>
    </row>
    <row r="111" spans="1:12" x14ac:dyDescent="0.2">
      <c r="A111" s="1" t="s">
        <v>195</v>
      </c>
      <c r="B111" s="1" t="s">
        <v>196</v>
      </c>
      <c r="C111" s="1" t="s">
        <v>197</v>
      </c>
      <c r="D111" s="1" t="s">
        <v>108</v>
      </c>
      <c r="E111" s="1" t="s">
        <v>233</v>
      </c>
      <c r="F111" s="1" t="s">
        <v>92</v>
      </c>
      <c r="G111" s="1" t="s">
        <v>92</v>
      </c>
      <c r="H111" s="1" t="s">
        <v>19</v>
      </c>
      <c r="I111" s="1" t="s">
        <v>239</v>
      </c>
      <c r="J111" s="1" t="s">
        <v>235</v>
      </c>
      <c r="K111" s="1" t="s">
        <v>236</v>
      </c>
      <c r="L111" s="1" t="s">
        <v>25</v>
      </c>
    </row>
    <row r="112" spans="1:12" x14ac:dyDescent="0.2">
      <c r="A112" s="1" t="s">
        <v>195</v>
      </c>
      <c r="B112" s="1" t="s">
        <v>196</v>
      </c>
      <c r="C112" s="1" t="s">
        <v>197</v>
      </c>
      <c r="D112" s="1" t="s">
        <v>172</v>
      </c>
      <c r="E112" s="1" t="s">
        <v>240</v>
      </c>
      <c r="F112" s="1" t="s">
        <v>92</v>
      </c>
      <c r="G112" s="1" t="s">
        <v>92</v>
      </c>
      <c r="H112" s="1" t="s">
        <v>36</v>
      </c>
      <c r="I112" s="1" t="s">
        <v>241</v>
      </c>
      <c r="J112" s="1" t="s">
        <v>242</v>
      </c>
      <c r="K112" s="1" t="s">
        <v>243</v>
      </c>
      <c r="L112" s="1" t="s">
        <v>112</v>
      </c>
    </row>
    <row r="113" spans="1:12" x14ac:dyDescent="0.2">
      <c r="A113" s="1" t="s">
        <v>195</v>
      </c>
      <c r="B113" s="1" t="s">
        <v>196</v>
      </c>
      <c r="C113" s="1" t="s">
        <v>197</v>
      </c>
      <c r="D113" s="1" t="s">
        <v>172</v>
      </c>
      <c r="E113" s="1" t="s">
        <v>240</v>
      </c>
      <c r="F113" s="1" t="s">
        <v>92</v>
      </c>
      <c r="G113" s="1" t="s">
        <v>92</v>
      </c>
      <c r="H113" s="1" t="s">
        <v>19</v>
      </c>
      <c r="I113" s="1" t="s">
        <v>244</v>
      </c>
      <c r="J113" s="1" t="s">
        <v>242</v>
      </c>
      <c r="K113" s="1" t="s">
        <v>243</v>
      </c>
      <c r="L113" s="1" t="s">
        <v>114</v>
      </c>
    </row>
    <row r="114" spans="1:12" x14ac:dyDescent="0.2">
      <c r="A114" s="1" t="s">
        <v>195</v>
      </c>
      <c r="B114" s="1" t="s">
        <v>196</v>
      </c>
      <c r="C114" s="1" t="s">
        <v>197</v>
      </c>
      <c r="D114" s="1" t="s">
        <v>172</v>
      </c>
      <c r="E114" s="1" t="s">
        <v>240</v>
      </c>
      <c r="F114" s="1" t="s">
        <v>92</v>
      </c>
      <c r="G114" s="1" t="s">
        <v>92</v>
      </c>
      <c r="H114" s="1" t="s">
        <v>26</v>
      </c>
      <c r="I114" s="1" t="s">
        <v>245</v>
      </c>
      <c r="J114" s="1" t="s">
        <v>242</v>
      </c>
      <c r="K114" s="1" t="s">
        <v>243</v>
      </c>
      <c r="L114" s="1" t="s">
        <v>114</v>
      </c>
    </row>
    <row r="115" spans="1:12" x14ac:dyDescent="0.2">
      <c r="A115" s="1" t="s">
        <v>92</v>
      </c>
    </row>
  </sheetData>
  <pageMargins left="0.7" right="0.7" top="0.75" bottom="0.75" header="0.3" footer="0.3"/>
  <ignoredErrors>
    <ignoredError sqref="A1:L11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Projections</vt:lpstr>
      <vt:lpstr>Reddit Log</vt:lpstr>
      <vt:lpstr>Market</vt:lpstr>
      <vt:lpstr>Review</vt:lpstr>
      <vt:lpstr>Market Sizing</vt:lpstr>
      <vt:lpstr>Advertising &amp; CAC</vt:lpstr>
      <vt:lpstr>Lesson Manifest</vt:lpstr>
      <vt:lpstr>AICPA FAR BP 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James McCoy</cp:lastModifiedBy>
  <dcterms:modified xsi:type="dcterms:W3CDTF">2026-03-27T18:11:58Z</dcterms:modified>
</cp:coreProperties>
</file>